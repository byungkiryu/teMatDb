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4a25058d50c5c4/OneD-2025/8 pykeri proto code/032 teMatDb1.1.6 to csv and filter  -- 20250524/data_080_human_digital_error_measure/"/>
    </mc:Choice>
  </mc:AlternateContent>
  <xr:revisionPtr revIDLastSave="3" documentId="13_ncr:1_{E9FDDC33-5A79-4CED-B8DA-7823CCBB5885}" xr6:coauthVersionLast="47" xr6:coauthVersionMax="47" xr10:uidLastSave="{162935A2-24F3-4EC8-B138-2DD5569F7566}"/>
  <bookViews>
    <workbookView xWindow="-110" yWindow="-110" windowWidth="24220" windowHeight="15500" activeTab="2" xr2:uid="{66D9F2D1-873E-42BC-A5D6-0895A02BEFDC}"/>
  </bookViews>
  <sheets>
    <sheet name="image used" sheetId="3" r:id="rId1"/>
    <sheet name="digitize error test, vs dpis" sheetId="1" r:id="rId2"/>
    <sheet name="dpi effects" sheetId="6" r:id="rId3"/>
    <sheet name="error, vs reriproc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2" i="6" l="1"/>
  <c r="AF12" i="6"/>
  <c r="AG12" i="6"/>
  <c r="AE15" i="6"/>
  <c r="AF15" i="6"/>
  <c r="AG15" i="6"/>
  <c r="AG17" i="6"/>
  <c r="AF18" i="6"/>
  <c r="AG18" i="6"/>
  <c r="AG20" i="6"/>
  <c r="AF21" i="6"/>
  <c r="AG21" i="6"/>
  <c r="AG23" i="6"/>
  <c r="AE24" i="6"/>
  <c r="AF24" i="6"/>
  <c r="AG24" i="6"/>
  <c r="AG26" i="6"/>
  <c r="AE27" i="6"/>
  <c r="AF27" i="6"/>
  <c r="AG27" i="6"/>
  <c r="AG29" i="6"/>
  <c r="AE30" i="6"/>
  <c r="AF30" i="6"/>
  <c r="AG30" i="6"/>
  <c r="AG32" i="6"/>
  <c r="AE33" i="6"/>
  <c r="AF33" i="6"/>
  <c r="AG33" i="6"/>
  <c r="AE35" i="6"/>
  <c r="AF35" i="6"/>
  <c r="AG35" i="6"/>
  <c r="AE36" i="6"/>
  <c r="AF36" i="6"/>
  <c r="AG36" i="6"/>
  <c r="AD38" i="6"/>
  <c r="AE38" i="6"/>
  <c r="AF38" i="6"/>
  <c r="AG38" i="6"/>
  <c r="AE39" i="6"/>
  <c r="AF39" i="6"/>
  <c r="AG39" i="6"/>
  <c r="AB39" i="6"/>
  <c r="AA39" i="6"/>
  <c r="Z39" i="6"/>
  <c r="Y39" i="6"/>
  <c r="AD39" i="6"/>
  <c r="AB38" i="6"/>
  <c r="AA38" i="6"/>
  <c r="Z38" i="6"/>
  <c r="Y38" i="6"/>
  <c r="AB37" i="6"/>
  <c r="AA37" i="6"/>
  <c r="Z37" i="6"/>
  <c r="Y37" i="6"/>
  <c r="AG37" i="6"/>
  <c r="AF37" i="6"/>
  <c r="AE37" i="6"/>
  <c r="AD37" i="6"/>
  <c r="AB36" i="6"/>
  <c r="AA36" i="6"/>
  <c r="Z36" i="6"/>
  <c r="Y36" i="6"/>
  <c r="AD36" i="6"/>
  <c r="AB35" i="6"/>
  <c r="AA35" i="6"/>
  <c r="Z35" i="6"/>
  <c r="Y35" i="6"/>
  <c r="AD35" i="6"/>
  <c r="AB34" i="6"/>
  <c r="AA34" i="6"/>
  <c r="Z34" i="6"/>
  <c r="Y34" i="6"/>
  <c r="AG34" i="6"/>
  <c r="AF34" i="6"/>
  <c r="AE34" i="6"/>
  <c r="AD34" i="6"/>
  <c r="AB33" i="6"/>
  <c r="AA33" i="6"/>
  <c r="Z33" i="6"/>
  <c r="Y33" i="6"/>
  <c r="AD33" i="6"/>
  <c r="AB32" i="6"/>
  <c r="AA32" i="6"/>
  <c r="Z32" i="6"/>
  <c r="Y32" i="6"/>
  <c r="AF32" i="6"/>
  <c r="AE32" i="6"/>
  <c r="AD32" i="6"/>
  <c r="AB31" i="6"/>
  <c r="AA31" i="6"/>
  <c r="Z31" i="6"/>
  <c r="Y31" i="6"/>
  <c r="AG31" i="6"/>
  <c r="AF31" i="6"/>
  <c r="AE31" i="6"/>
  <c r="AD31" i="6"/>
  <c r="AB30" i="6"/>
  <c r="AA30" i="6"/>
  <c r="Z30" i="6"/>
  <c r="Y30" i="6"/>
  <c r="AD30" i="6"/>
  <c r="AB29" i="6"/>
  <c r="AA29" i="6"/>
  <c r="Z29" i="6"/>
  <c r="Y29" i="6"/>
  <c r="AF29" i="6"/>
  <c r="AE29" i="6"/>
  <c r="AD29" i="6"/>
  <c r="AB28" i="6"/>
  <c r="AA28" i="6"/>
  <c r="Z28" i="6"/>
  <c r="Y28" i="6"/>
  <c r="AG28" i="6"/>
  <c r="AF28" i="6"/>
  <c r="AE28" i="6"/>
  <c r="AD28" i="6"/>
  <c r="AB27" i="6"/>
  <c r="AA27" i="6"/>
  <c r="Z27" i="6"/>
  <c r="Y27" i="6"/>
  <c r="AD27" i="6"/>
  <c r="AB26" i="6"/>
  <c r="AA26" i="6"/>
  <c r="Z26" i="6"/>
  <c r="Y26" i="6"/>
  <c r="AF26" i="6"/>
  <c r="AE26" i="6"/>
  <c r="AD26" i="6"/>
  <c r="AB25" i="6"/>
  <c r="AA25" i="6"/>
  <c r="Z25" i="6"/>
  <c r="Y25" i="6"/>
  <c r="AG25" i="6"/>
  <c r="AF25" i="6"/>
  <c r="AE25" i="6"/>
  <c r="AD25" i="6"/>
  <c r="AB24" i="6"/>
  <c r="AA24" i="6"/>
  <c r="Z24" i="6"/>
  <c r="Y24" i="6"/>
  <c r="AD24" i="6"/>
  <c r="AK21" i="6"/>
  <c r="AJ21" i="6"/>
  <c r="AB23" i="6"/>
  <c r="AA23" i="6"/>
  <c r="Z23" i="6"/>
  <c r="Y23" i="6"/>
  <c r="AF23" i="6"/>
  <c r="AE23" i="6"/>
  <c r="AD23" i="6"/>
  <c r="AB22" i="6"/>
  <c r="AA22" i="6"/>
  <c r="Z22" i="6"/>
  <c r="Y22" i="6"/>
  <c r="AG22" i="6"/>
  <c r="AF22" i="6"/>
  <c r="AE22" i="6"/>
  <c r="AD22" i="6"/>
  <c r="AB21" i="6"/>
  <c r="AA21" i="6"/>
  <c r="Z21" i="6"/>
  <c r="Y21" i="6"/>
  <c r="AE21" i="6"/>
  <c r="AD21" i="6"/>
  <c r="AB20" i="6"/>
  <c r="AA20" i="6"/>
  <c r="Z20" i="6"/>
  <c r="Y20" i="6"/>
  <c r="AF20" i="6"/>
  <c r="AE20" i="6"/>
  <c r="AD20" i="6"/>
  <c r="AB19" i="6"/>
  <c r="AA19" i="6"/>
  <c r="Z19" i="6"/>
  <c r="Y19" i="6"/>
  <c r="U3" i="6"/>
  <c r="AG19" i="6"/>
  <c r="AF19" i="6"/>
  <c r="AE19" i="6"/>
  <c r="AD19" i="6"/>
  <c r="AB18" i="6"/>
  <c r="AA18" i="6"/>
  <c r="Z18" i="6"/>
  <c r="Y18" i="6"/>
  <c r="AE18" i="6"/>
  <c r="AD18" i="6"/>
  <c r="AB17" i="6"/>
  <c r="AA17" i="6"/>
  <c r="Z17" i="6"/>
  <c r="Y17" i="6"/>
  <c r="AF17" i="6"/>
  <c r="AE17" i="6"/>
  <c r="AD17" i="6"/>
  <c r="AB16" i="6"/>
  <c r="AA16" i="6"/>
  <c r="Z16" i="6"/>
  <c r="Y16" i="6"/>
  <c r="AG16" i="6"/>
  <c r="AF16" i="6"/>
  <c r="AE16" i="6"/>
  <c r="AD16" i="6"/>
  <c r="AB15" i="6"/>
  <c r="AA15" i="6"/>
  <c r="Z15" i="6"/>
  <c r="Y15" i="6"/>
  <c r="AD15" i="6"/>
  <c r="AB14" i="6"/>
  <c r="AA14" i="6"/>
  <c r="Z14" i="6"/>
  <c r="Y14" i="6"/>
  <c r="AG14" i="6"/>
  <c r="AF14" i="6"/>
  <c r="AE14" i="6"/>
  <c r="AD14" i="6"/>
  <c r="AB13" i="6"/>
  <c r="AA13" i="6"/>
  <c r="Z13" i="6"/>
  <c r="Y13" i="6"/>
  <c r="AG13" i="6"/>
  <c r="AF13" i="6"/>
  <c r="AE13" i="6"/>
  <c r="AD13" i="6"/>
  <c r="AB12" i="6"/>
  <c r="AB4" i="6" s="1" a="1"/>
  <c r="AB4" i="6" s="1"/>
  <c r="AA12" i="6"/>
  <c r="Z12" i="6"/>
  <c r="Y12" i="6"/>
  <c r="AD12" i="6"/>
  <c r="AB11" i="6"/>
  <c r="AA11" i="6"/>
  <c r="Z11" i="6"/>
  <c r="Y11" i="6"/>
  <c r="AG11" i="6"/>
  <c r="AF11" i="6"/>
  <c r="AE11" i="6"/>
  <c r="AD11" i="6"/>
  <c r="AB10" i="6"/>
  <c r="AA10" i="6"/>
  <c r="Z10" i="6"/>
  <c r="Y10" i="6"/>
  <c r="J3" i="6"/>
  <c r="I4" i="6" a="1"/>
  <c r="I4" i="6" s="1"/>
  <c r="T4" i="6" a="1"/>
  <c r="T4" i="6" s="1"/>
  <c r="Q4" i="6" a="1"/>
  <c r="Q4" i="6" s="1"/>
  <c r="P4" i="6" a="1"/>
  <c r="P4" i="6" s="1"/>
  <c r="O4" i="6" a="1"/>
  <c r="O4" i="6" s="1"/>
  <c r="N4" i="6" a="1"/>
  <c r="N4" i="6" s="1"/>
  <c r="E4" i="6" a="1"/>
  <c r="E4" i="6" s="1"/>
  <c r="D4" i="6" a="1"/>
  <c r="D4" i="6" s="1"/>
  <c r="C4" i="6" a="1"/>
  <c r="C4" i="6" s="1"/>
  <c r="B4" i="6" a="1"/>
  <c r="B4" i="6" s="1"/>
  <c r="T3" i="6"/>
  <c r="Q3" i="6"/>
  <c r="P3" i="6"/>
  <c r="O3" i="6"/>
  <c r="N3" i="6"/>
  <c r="E3" i="6"/>
  <c r="D3" i="6"/>
  <c r="C3" i="6"/>
  <c r="B3" i="6"/>
  <c r="T2" i="6"/>
  <c r="AP16" i="6" s="1"/>
  <c r="Q2" i="6"/>
  <c r="AM16" i="6" s="1"/>
  <c r="P2" i="6"/>
  <c r="AL16" i="6" s="1"/>
  <c r="O2" i="6"/>
  <c r="AK16" i="6" s="1"/>
  <c r="N2" i="6"/>
  <c r="AJ16" i="6" s="1"/>
  <c r="E2" i="6"/>
  <c r="D2" i="6"/>
  <c r="C2" i="6"/>
  <c r="B2" i="6"/>
  <c r="T1" i="6"/>
  <c r="AP21" i="6" s="1"/>
  <c r="Q1" i="6"/>
  <c r="AM21" i="6" s="1"/>
  <c r="P1" i="6"/>
  <c r="AL21" i="6" s="1"/>
  <c r="O1" i="6"/>
  <c r="N1" i="6"/>
  <c r="E1" i="6"/>
  <c r="D1" i="6"/>
  <c r="C1" i="6"/>
  <c r="B1" i="6"/>
  <c r="AJ21" i="4"/>
  <c r="AD22" i="4"/>
  <c r="AB39" i="4"/>
  <c r="AA39" i="4"/>
  <c r="Z39" i="4"/>
  <c r="Y39" i="4"/>
  <c r="AB38" i="4"/>
  <c r="AA38" i="4"/>
  <c r="Z38" i="4"/>
  <c r="Y38" i="4"/>
  <c r="AB37" i="4"/>
  <c r="AA37" i="4"/>
  <c r="Z37" i="4"/>
  <c r="Y37" i="4"/>
  <c r="AB36" i="4"/>
  <c r="AA36" i="4"/>
  <c r="Z36" i="4"/>
  <c r="Y36" i="4"/>
  <c r="AB35" i="4"/>
  <c r="AA35" i="4"/>
  <c r="Z35" i="4"/>
  <c r="Y35" i="4"/>
  <c r="AB34" i="4"/>
  <c r="AA34" i="4"/>
  <c r="Z34" i="4"/>
  <c r="Y34" i="4"/>
  <c r="AB33" i="4"/>
  <c r="AA33" i="4"/>
  <c r="Z33" i="4"/>
  <c r="Y33" i="4"/>
  <c r="AB32" i="4"/>
  <c r="AA32" i="4"/>
  <c r="Z32" i="4"/>
  <c r="Y32" i="4"/>
  <c r="AB31" i="4"/>
  <c r="AA31" i="4"/>
  <c r="Z31" i="4"/>
  <c r="Y31" i="4"/>
  <c r="AB30" i="4"/>
  <c r="AA30" i="4"/>
  <c r="Z30" i="4"/>
  <c r="Y30" i="4"/>
  <c r="AB29" i="4"/>
  <c r="AA29" i="4"/>
  <c r="Z29" i="4"/>
  <c r="Y29" i="4"/>
  <c r="AB28" i="4"/>
  <c r="AA28" i="4"/>
  <c r="Z28" i="4"/>
  <c r="Y28" i="4"/>
  <c r="AB27" i="4"/>
  <c r="AA27" i="4"/>
  <c r="Z27" i="4"/>
  <c r="Y27" i="4"/>
  <c r="AB26" i="4"/>
  <c r="AA26" i="4"/>
  <c r="Z26" i="4"/>
  <c r="Y26" i="4"/>
  <c r="AB25" i="4"/>
  <c r="AA25" i="4"/>
  <c r="Z25" i="4"/>
  <c r="Y25" i="4"/>
  <c r="AB24" i="4"/>
  <c r="AA24" i="4"/>
  <c r="Z24" i="4"/>
  <c r="Y24" i="4"/>
  <c r="AB23" i="4"/>
  <c r="AA23" i="4"/>
  <c r="Z23" i="4"/>
  <c r="Y23" i="4"/>
  <c r="AB22" i="4"/>
  <c r="AA22" i="4"/>
  <c r="Z22" i="4"/>
  <c r="Y22" i="4"/>
  <c r="AB21" i="4"/>
  <c r="AA21" i="4"/>
  <c r="Z21" i="4"/>
  <c r="Y21" i="4"/>
  <c r="AB20" i="4"/>
  <c r="AA20" i="4"/>
  <c r="Z20" i="4"/>
  <c r="Y20" i="4"/>
  <c r="AB19" i="4"/>
  <c r="AA19" i="4"/>
  <c r="Z19" i="4"/>
  <c r="Y19" i="4"/>
  <c r="AB18" i="4"/>
  <c r="AA18" i="4"/>
  <c r="Z18" i="4"/>
  <c r="Y18" i="4"/>
  <c r="AB17" i="4"/>
  <c r="AA17" i="4"/>
  <c r="Z17" i="4"/>
  <c r="Y17" i="4"/>
  <c r="AB16" i="4"/>
  <c r="AA16" i="4"/>
  <c r="Z16" i="4"/>
  <c r="Y16" i="4"/>
  <c r="AB15" i="4"/>
  <c r="AA15" i="4"/>
  <c r="Z15" i="4"/>
  <c r="Y15" i="4"/>
  <c r="AB14" i="4"/>
  <c r="AA14" i="4"/>
  <c r="Z14" i="4"/>
  <c r="Y14" i="4"/>
  <c r="AB13" i="4"/>
  <c r="AA13" i="4"/>
  <c r="Z13" i="4"/>
  <c r="Y13" i="4"/>
  <c r="AB12" i="4"/>
  <c r="AA12" i="4"/>
  <c r="Z12" i="4"/>
  <c r="Y12" i="4"/>
  <c r="AB11" i="4"/>
  <c r="AA11" i="4"/>
  <c r="Z11" i="4"/>
  <c r="Y11" i="4"/>
  <c r="AB10" i="4"/>
  <c r="AA10" i="4"/>
  <c r="Z10" i="4"/>
  <c r="Y10" i="4"/>
  <c r="Q1" i="4"/>
  <c r="AM21" i="4" s="1"/>
  <c r="P1" i="4"/>
  <c r="AL21" i="4" s="1"/>
  <c r="O1" i="4"/>
  <c r="AK21" i="4" s="1"/>
  <c r="N1" i="4"/>
  <c r="E1" i="4"/>
  <c r="D1" i="4"/>
  <c r="C1" i="4"/>
  <c r="B1" i="4"/>
  <c r="Q4" i="4" a="1"/>
  <c r="Q4" i="4" s="1"/>
  <c r="P4" i="4" a="1"/>
  <c r="P4" i="4" s="1"/>
  <c r="O4" i="4" a="1"/>
  <c r="O4" i="4" s="1"/>
  <c r="N4" i="4" a="1"/>
  <c r="N4" i="4" s="1"/>
  <c r="E4" i="4" a="1"/>
  <c r="E4" i="4" s="1"/>
  <c r="D4" i="4" a="1"/>
  <c r="D4" i="4" s="1"/>
  <c r="C4" i="4" a="1"/>
  <c r="C4" i="4" s="1"/>
  <c r="B4" i="4" a="1"/>
  <c r="B4" i="4" s="1"/>
  <c r="U39" i="4"/>
  <c r="T39" i="4"/>
  <c r="U38" i="4"/>
  <c r="T38" i="4"/>
  <c r="U37" i="4"/>
  <c r="T37" i="4"/>
  <c r="U36" i="4"/>
  <c r="T36" i="4"/>
  <c r="U35" i="4"/>
  <c r="T35" i="4"/>
  <c r="U34" i="4"/>
  <c r="T34" i="4"/>
  <c r="U33" i="4"/>
  <c r="T33" i="4"/>
  <c r="U32" i="4"/>
  <c r="T32" i="4"/>
  <c r="U31" i="4"/>
  <c r="T31" i="4"/>
  <c r="U30" i="4"/>
  <c r="T30" i="4"/>
  <c r="U29" i="4"/>
  <c r="T29" i="4"/>
  <c r="U28" i="4"/>
  <c r="T28" i="4"/>
  <c r="U27" i="4"/>
  <c r="T27" i="4"/>
  <c r="U26" i="4"/>
  <c r="T26" i="4"/>
  <c r="U25" i="4"/>
  <c r="T25" i="4"/>
  <c r="U24" i="4"/>
  <c r="T24" i="4"/>
  <c r="U23" i="4"/>
  <c r="T23" i="4"/>
  <c r="U22" i="4"/>
  <c r="T22" i="4"/>
  <c r="U21" i="4"/>
  <c r="T21" i="4"/>
  <c r="U20" i="4"/>
  <c r="T20" i="4"/>
  <c r="U19" i="4"/>
  <c r="T19" i="4"/>
  <c r="U18" i="4"/>
  <c r="T18" i="4"/>
  <c r="U17" i="4"/>
  <c r="T17" i="4"/>
  <c r="U16" i="4"/>
  <c r="T16" i="4"/>
  <c r="U15" i="4"/>
  <c r="T15" i="4"/>
  <c r="U14" i="4"/>
  <c r="T14" i="4"/>
  <c r="U13" i="4"/>
  <c r="T13" i="4"/>
  <c r="U12" i="4"/>
  <c r="T12" i="4"/>
  <c r="U11" i="4"/>
  <c r="T11" i="4"/>
  <c r="U10" i="4"/>
  <c r="T10" i="4"/>
  <c r="I39" i="4"/>
  <c r="AE39" i="4" s="1"/>
  <c r="H39" i="4"/>
  <c r="AD39" i="4" s="1"/>
  <c r="I38" i="4"/>
  <c r="AE38" i="4" s="1"/>
  <c r="H38" i="4"/>
  <c r="AD38" i="4" s="1"/>
  <c r="I37" i="4"/>
  <c r="AE37" i="4" s="1"/>
  <c r="H37" i="4"/>
  <c r="AD37" i="4" s="1"/>
  <c r="I36" i="4"/>
  <c r="AE36" i="4" s="1"/>
  <c r="H36" i="4"/>
  <c r="AD36" i="4" s="1"/>
  <c r="I35" i="4"/>
  <c r="AE35" i="4" s="1"/>
  <c r="H35" i="4"/>
  <c r="AD35" i="4" s="1"/>
  <c r="I34" i="4"/>
  <c r="AE34" i="4" s="1"/>
  <c r="H34" i="4"/>
  <c r="AD34" i="4" s="1"/>
  <c r="I33" i="4"/>
  <c r="AE33" i="4" s="1"/>
  <c r="H33" i="4"/>
  <c r="AD33" i="4" s="1"/>
  <c r="I32" i="4"/>
  <c r="AE32" i="4" s="1"/>
  <c r="H32" i="4"/>
  <c r="AD32" i="4" s="1"/>
  <c r="I31" i="4"/>
  <c r="AE31" i="4" s="1"/>
  <c r="H31" i="4"/>
  <c r="AD31" i="4" s="1"/>
  <c r="I30" i="4"/>
  <c r="AE30" i="4" s="1"/>
  <c r="H30" i="4"/>
  <c r="AD30" i="4" s="1"/>
  <c r="I29" i="4"/>
  <c r="AE29" i="4" s="1"/>
  <c r="H29" i="4"/>
  <c r="AD29" i="4" s="1"/>
  <c r="I28" i="4"/>
  <c r="AE28" i="4" s="1"/>
  <c r="H28" i="4"/>
  <c r="AD28" i="4" s="1"/>
  <c r="I27" i="4"/>
  <c r="AE27" i="4" s="1"/>
  <c r="H27" i="4"/>
  <c r="AD27" i="4" s="1"/>
  <c r="I26" i="4"/>
  <c r="AE26" i="4" s="1"/>
  <c r="H26" i="4"/>
  <c r="AD26" i="4" s="1"/>
  <c r="I25" i="4"/>
  <c r="AE25" i="4" s="1"/>
  <c r="H25" i="4"/>
  <c r="AD25" i="4" s="1"/>
  <c r="I24" i="4"/>
  <c r="AE24" i="4" s="1"/>
  <c r="H24" i="4"/>
  <c r="AD24" i="4" s="1"/>
  <c r="I23" i="4"/>
  <c r="AE23" i="4" s="1"/>
  <c r="H23" i="4"/>
  <c r="AD23" i="4" s="1"/>
  <c r="I22" i="4"/>
  <c r="AE22" i="4" s="1"/>
  <c r="H22" i="4"/>
  <c r="I21" i="4"/>
  <c r="AE21" i="4" s="1"/>
  <c r="H21" i="4"/>
  <c r="AD21" i="4" s="1"/>
  <c r="I20" i="4"/>
  <c r="AE20" i="4" s="1"/>
  <c r="H20" i="4"/>
  <c r="AD20" i="4" s="1"/>
  <c r="I19" i="4"/>
  <c r="AE19" i="4" s="1"/>
  <c r="H19" i="4"/>
  <c r="AD19" i="4" s="1"/>
  <c r="I18" i="4"/>
  <c r="AE18" i="4" s="1"/>
  <c r="H18" i="4"/>
  <c r="AD18" i="4" s="1"/>
  <c r="I17" i="4"/>
  <c r="AE17" i="4" s="1"/>
  <c r="H17" i="4"/>
  <c r="AD17" i="4" s="1"/>
  <c r="I16" i="4"/>
  <c r="AE16" i="4" s="1"/>
  <c r="H16" i="4"/>
  <c r="AD16" i="4" s="1"/>
  <c r="I15" i="4"/>
  <c r="AE15" i="4" s="1"/>
  <c r="H15" i="4"/>
  <c r="AD15" i="4" s="1"/>
  <c r="I14" i="4"/>
  <c r="AE14" i="4" s="1"/>
  <c r="H14" i="4"/>
  <c r="AD14" i="4" s="1"/>
  <c r="I13" i="4"/>
  <c r="AE13" i="4" s="1"/>
  <c r="H13" i="4"/>
  <c r="AD13" i="4" s="1"/>
  <c r="I12" i="4"/>
  <c r="AE12" i="4" s="1"/>
  <c r="H12" i="4"/>
  <c r="AD12" i="4" s="1"/>
  <c r="I11" i="4"/>
  <c r="AE11" i="4" s="1"/>
  <c r="H11" i="4"/>
  <c r="AD11" i="4" s="1"/>
  <c r="I10" i="4"/>
  <c r="H10" i="4"/>
  <c r="AD10" i="4" s="1"/>
  <c r="Q3" i="4"/>
  <c r="P3" i="4"/>
  <c r="O3" i="4"/>
  <c r="N3" i="4"/>
  <c r="Q2" i="4"/>
  <c r="AM16" i="4" s="1"/>
  <c r="P2" i="4"/>
  <c r="AL16" i="4" s="1"/>
  <c r="O2" i="4"/>
  <c r="AK16" i="4" s="1"/>
  <c r="N2" i="4"/>
  <c r="AJ16" i="4" s="1"/>
  <c r="E3" i="4"/>
  <c r="E2" i="4"/>
  <c r="D3" i="4"/>
  <c r="D2" i="4"/>
  <c r="C3" i="4"/>
  <c r="C2" i="4"/>
  <c r="B3" i="4"/>
  <c r="B2" i="4"/>
  <c r="W39" i="4"/>
  <c r="V39" i="4"/>
  <c r="W38" i="4"/>
  <c r="V38" i="4"/>
  <c r="W37" i="4"/>
  <c r="V37" i="4"/>
  <c r="W36" i="4"/>
  <c r="V36" i="4"/>
  <c r="W35" i="4"/>
  <c r="V35" i="4"/>
  <c r="W34" i="4"/>
  <c r="V34" i="4"/>
  <c r="W33" i="4"/>
  <c r="V33" i="4"/>
  <c r="W32" i="4"/>
  <c r="V32" i="4"/>
  <c r="W31" i="4"/>
  <c r="V31" i="4"/>
  <c r="W30" i="4"/>
  <c r="V30" i="4"/>
  <c r="W29" i="4"/>
  <c r="V29" i="4"/>
  <c r="W28" i="4"/>
  <c r="V28" i="4"/>
  <c r="W27" i="4"/>
  <c r="V27" i="4"/>
  <c r="W26" i="4"/>
  <c r="V26" i="4"/>
  <c r="W25" i="4"/>
  <c r="V25" i="4"/>
  <c r="W24" i="4"/>
  <c r="V24" i="4"/>
  <c r="W23" i="4"/>
  <c r="V23" i="4"/>
  <c r="W22" i="4"/>
  <c r="V22" i="4"/>
  <c r="W21" i="4"/>
  <c r="V21" i="4"/>
  <c r="W20" i="4"/>
  <c r="V20" i="4"/>
  <c r="W19" i="4"/>
  <c r="V19" i="4"/>
  <c r="W18" i="4"/>
  <c r="V18" i="4"/>
  <c r="W17" i="4"/>
  <c r="V17" i="4"/>
  <c r="W16" i="4"/>
  <c r="V16" i="4"/>
  <c r="W15" i="4"/>
  <c r="V15" i="4"/>
  <c r="W14" i="4"/>
  <c r="V14" i="4"/>
  <c r="W13" i="4"/>
  <c r="V13" i="4"/>
  <c r="W12" i="4"/>
  <c r="V12" i="4"/>
  <c r="W11" i="4"/>
  <c r="V11" i="4"/>
  <c r="W10" i="4"/>
  <c r="V10" i="4"/>
  <c r="K39" i="4"/>
  <c r="AG39" i="4" s="1"/>
  <c r="J39" i="4"/>
  <c r="AF39" i="4" s="1"/>
  <c r="K38" i="4"/>
  <c r="AG38" i="4" s="1"/>
  <c r="J38" i="4"/>
  <c r="AF38" i="4" s="1"/>
  <c r="K37" i="4"/>
  <c r="AG37" i="4" s="1"/>
  <c r="J37" i="4"/>
  <c r="AF37" i="4" s="1"/>
  <c r="K36" i="4"/>
  <c r="AG36" i="4" s="1"/>
  <c r="J36" i="4"/>
  <c r="AF36" i="4" s="1"/>
  <c r="K35" i="4"/>
  <c r="AG35" i="4" s="1"/>
  <c r="J35" i="4"/>
  <c r="AF35" i="4" s="1"/>
  <c r="K34" i="4"/>
  <c r="AG34" i="4" s="1"/>
  <c r="J34" i="4"/>
  <c r="AF34" i="4" s="1"/>
  <c r="K33" i="4"/>
  <c r="AG33" i="4" s="1"/>
  <c r="J33" i="4"/>
  <c r="AF33" i="4" s="1"/>
  <c r="K32" i="4"/>
  <c r="AG32" i="4" s="1"/>
  <c r="J32" i="4"/>
  <c r="AF32" i="4" s="1"/>
  <c r="K31" i="4"/>
  <c r="AG31" i="4" s="1"/>
  <c r="J31" i="4"/>
  <c r="AF31" i="4" s="1"/>
  <c r="K30" i="4"/>
  <c r="J30" i="4"/>
  <c r="AF30" i="4" s="1"/>
  <c r="K29" i="4"/>
  <c r="AG29" i="4" s="1"/>
  <c r="J29" i="4"/>
  <c r="AF29" i="4" s="1"/>
  <c r="K28" i="4"/>
  <c r="AG28" i="4" s="1"/>
  <c r="J28" i="4"/>
  <c r="AF28" i="4" s="1"/>
  <c r="K27" i="4"/>
  <c r="AG27" i="4" s="1"/>
  <c r="J27" i="4"/>
  <c r="AF27" i="4" s="1"/>
  <c r="K26" i="4"/>
  <c r="AG26" i="4" s="1"/>
  <c r="J26" i="4"/>
  <c r="AF26" i="4" s="1"/>
  <c r="K25" i="4"/>
  <c r="AG25" i="4" s="1"/>
  <c r="J25" i="4"/>
  <c r="AF25" i="4" s="1"/>
  <c r="K24" i="4"/>
  <c r="AG24" i="4" s="1"/>
  <c r="J24" i="4"/>
  <c r="AF24" i="4" s="1"/>
  <c r="K23" i="4"/>
  <c r="AG23" i="4" s="1"/>
  <c r="J23" i="4"/>
  <c r="AF23" i="4" s="1"/>
  <c r="K22" i="4"/>
  <c r="AG22" i="4" s="1"/>
  <c r="J22" i="4"/>
  <c r="AF22" i="4" s="1"/>
  <c r="K21" i="4"/>
  <c r="AG21" i="4" s="1"/>
  <c r="J21" i="4"/>
  <c r="AF21" i="4" s="1"/>
  <c r="K20" i="4"/>
  <c r="AG20" i="4" s="1"/>
  <c r="J20" i="4"/>
  <c r="AF20" i="4" s="1"/>
  <c r="K19" i="4"/>
  <c r="AG19" i="4" s="1"/>
  <c r="J19" i="4"/>
  <c r="AF19" i="4" s="1"/>
  <c r="K18" i="4"/>
  <c r="AG18" i="4" s="1"/>
  <c r="J18" i="4"/>
  <c r="AF18" i="4" s="1"/>
  <c r="K17" i="4"/>
  <c r="AG17" i="4" s="1"/>
  <c r="J17" i="4"/>
  <c r="AF17" i="4" s="1"/>
  <c r="K16" i="4"/>
  <c r="AG16" i="4" s="1"/>
  <c r="J16" i="4"/>
  <c r="AF16" i="4" s="1"/>
  <c r="K15" i="4"/>
  <c r="AG15" i="4" s="1"/>
  <c r="J15" i="4"/>
  <c r="AF15" i="4" s="1"/>
  <c r="K14" i="4"/>
  <c r="AG14" i="4" s="1"/>
  <c r="J14" i="4"/>
  <c r="AF14" i="4" s="1"/>
  <c r="K13" i="4"/>
  <c r="AG13" i="4" s="1"/>
  <c r="J13" i="4"/>
  <c r="AF13" i="4" s="1"/>
  <c r="K12" i="4"/>
  <c r="AG12" i="4" s="1"/>
  <c r="J12" i="4"/>
  <c r="AF12" i="4" s="1"/>
  <c r="K11" i="4"/>
  <c r="AG11" i="4" s="1"/>
  <c r="J11" i="4"/>
  <c r="AF11" i="4" s="1"/>
  <c r="K10" i="4"/>
  <c r="AG10" i="4" s="1"/>
  <c r="J10" i="4"/>
  <c r="AF10" i="4" s="1"/>
  <c r="W36" i="1"/>
  <c r="V36" i="1"/>
  <c r="W35" i="1"/>
  <c r="V35" i="1"/>
  <c r="W34" i="1"/>
  <c r="V34" i="1"/>
  <c r="W33" i="1"/>
  <c r="V33" i="1"/>
  <c r="W32" i="1"/>
  <c r="V32" i="1"/>
  <c r="W31" i="1"/>
  <c r="V31" i="1"/>
  <c r="W30" i="1"/>
  <c r="V30" i="1"/>
  <c r="W29" i="1"/>
  <c r="V29" i="1"/>
  <c r="W28" i="1"/>
  <c r="V28" i="1"/>
  <c r="W27" i="1"/>
  <c r="V27" i="1"/>
  <c r="W26" i="1"/>
  <c r="V26" i="1"/>
  <c r="W25" i="1"/>
  <c r="V25" i="1"/>
  <c r="W24" i="1"/>
  <c r="V24" i="1"/>
  <c r="W23" i="1"/>
  <c r="V23" i="1"/>
  <c r="W22" i="1"/>
  <c r="V22" i="1"/>
  <c r="W21" i="1"/>
  <c r="V21" i="1"/>
  <c r="W20" i="1"/>
  <c r="V20" i="1"/>
  <c r="W19" i="1"/>
  <c r="V19" i="1"/>
  <c r="W18" i="1"/>
  <c r="V18" i="1"/>
  <c r="W17" i="1"/>
  <c r="V17" i="1"/>
  <c r="W16" i="1"/>
  <c r="V16" i="1"/>
  <c r="W15" i="1"/>
  <c r="V15" i="1"/>
  <c r="W14" i="1"/>
  <c r="V14" i="1"/>
  <c r="W13" i="1"/>
  <c r="V13" i="1"/>
  <c r="W12" i="1"/>
  <c r="V12" i="1"/>
  <c r="W11" i="1"/>
  <c r="V11" i="1"/>
  <c r="W10" i="1"/>
  <c r="V10" i="1"/>
  <c r="W9" i="1"/>
  <c r="V9" i="1"/>
  <c r="W8" i="1"/>
  <c r="V8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W7" i="1"/>
  <c r="V7" i="1"/>
  <c r="T36" i="1"/>
  <c r="S36" i="1"/>
  <c r="T35" i="1"/>
  <c r="S35" i="1"/>
  <c r="T34" i="1"/>
  <c r="S34" i="1"/>
  <c r="T33" i="1"/>
  <c r="S33" i="1"/>
  <c r="T32" i="1"/>
  <c r="S32" i="1"/>
  <c r="T31" i="1"/>
  <c r="S31" i="1"/>
  <c r="T30" i="1"/>
  <c r="S30" i="1"/>
  <c r="T29" i="1"/>
  <c r="S29" i="1"/>
  <c r="T28" i="1"/>
  <c r="S28" i="1"/>
  <c r="T27" i="1"/>
  <c r="S27" i="1"/>
  <c r="T26" i="1"/>
  <c r="S26" i="1"/>
  <c r="T25" i="1"/>
  <c r="S25" i="1"/>
  <c r="T24" i="1"/>
  <c r="S24" i="1"/>
  <c r="T23" i="1"/>
  <c r="S23" i="1"/>
  <c r="T22" i="1"/>
  <c r="S22" i="1"/>
  <c r="T21" i="1"/>
  <c r="S21" i="1"/>
  <c r="T20" i="1"/>
  <c r="S20" i="1"/>
  <c r="T19" i="1"/>
  <c r="S19" i="1"/>
  <c r="T18" i="1"/>
  <c r="S18" i="1"/>
  <c r="T17" i="1"/>
  <c r="S17" i="1"/>
  <c r="T16" i="1"/>
  <c r="S16" i="1"/>
  <c r="T15" i="1"/>
  <c r="S15" i="1"/>
  <c r="T14" i="1"/>
  <c r="S14" i="1"/>
  <c r="T13" i="1"/>
  <c r="S13" i="1"/>
  <c r="T12" i="1"/>
  <c r="S12" i="1"/>
  <c r="T11" i="1"/>
  <c r="S11" i="1"/>
  <c r="T10" i="1"/>
  <c r="S10" i="1"/>
  <c r="T9" i="1"/>
  <c r="S9" i="1"/>
  <c r="T8" i="1"/>
  <c r="S8" i="1"/>
  <c r="T7" i="1"/>
  <c r="S7" i="1"/>
  <c r="R36" i="1"/>
  <c r="Q36" i="1"/>
  <c r="R35" i="1"/>
  <c r="Q35" i="1"/>
  <c r="R34" i="1"/>
  <c r="Q34" i="1"/>
  <c r="R33" i="1"/>
  <c r="Q33" i="1"/>
  <c r="R32" i="1"/>
  <c r="Q32" i="1"/>
  <c r="R31" i="1"/>
  <c r="Q31" i="1"/>
  <c r="R30" i="1"/>
  <c r="Q30" i="1"/>
  <c r="R29" i="1"/>
  <c r="Q29" i="1"/>
  <c r="R28" i="1"/>
  <c r="Q28" i="1"/>
  <c r="R27" i="1"/>
  <c r="Q27" i="1"/>
  <c r="R26" i="1"/>
  <c r="Q26" i="1"/>
  <c r="R25" i="1"/>
  <c r="Q25" i="1"/>
  <c r="R24" i="1"/>
  <c r="Q24" i="1"/>
  <c r="R23" i="1"/>
  <c r="Q23" i="1"/>
  <c r="R22" i="1"/>
  <c r="Q22" i="1"/>
  <c r="R21" i="1"/>
  <c r="Q21" i="1"/>
  <c r="R20" i="1"/>
  <c r="Q20" i="1"/>
  <c r="R19" i="1"/>
  <c r="Q19" i="1"/>
  <c r="R18" i="1"/>
  <c r="Q18" i="1"/>
  <c r="R17" i="1"/>
  <c r="Q17" i="1"/>
  <c r="R16" i="1"/>
  <c r="Q16" i="1"/>
  <c r="R15" i="1"/>
  <c r="Q15" i="1"/>
  <c r="R14" i="1"/>
  <c r="Q14" i="1"/>
  <c r="R13" i="1"/>
  <c r="Q13" i="1"/>
  <c r="R12" i="1"/>
  <c r="Q12" i="1"/>
  <c r="R11" i="1"/>
  <c r="Q11" i="1"/>
  <c r="R10" i="1"/>
  <c r="Q10" i="1"/>
  <c r="R9" i="1"/>
  <c r="Q9" i="1"/>
  <c r="R8" i="1"/>
  <c r="Q8" i="1"/>
  <c r="R7" i="1"/>
  <c r="Q7" i="1"/>
  <c r="AA3" i="6" l="1"/>
  <c r="AK11" i="6"/>
  <c r="AL11" i="6"/>
  <c r="AM11" i="6"/>
  <c r="V3" i="6"/>
  <c r="V2" i="6"/>
  <c r="AR16" i="6" s="1"/>
  <c r="W3" i="6"/>
  <c r="V1" i="6"/>
  <c r="AR21" i="6" s="1"/>
  <c r="W2" i="6"/>
  <c r="AS16" i="6" s="1"/>
  <c r="U4" i="6" a="1"/>
  <c r="U4" i="6" s="1"/>
  <c r="W1" i="6"/>
  <c r="AS21" i="6" s="1"/>
  <c r="V4" i="6" a="1"/>
  <c r="V4" i="6" s="1"/>
  <c r="W4" i="6" a="1"/>
  <c r="W4" i="6" s="1"/>
  <c r="AB3" i="6"/>
  <c r="H1" i="6"/>
  <c r="AL12" i="6" a="1"/>
  <c r="AL12" i="6" s="1"/>
  <c r="AL18" i="6" s="1"/>
  <c r="AM12" i="6" a="1"/>
  <c r="AM12" i="6" s="1"/>
  <c r="AM18" i="6" s="1"/>
  <c r="J4" i="6" a="1"/>
  <c r="J4" i="6" s="1"/>
  <c r="K3" i="6"/>
  <c r="K4" i="6" a="1"/>
  <c r="K4" i="6" s="1"/>
  <c r="AA4" i="6" a="1"/>
  <c r="AA4" i="6" s="1"/>
  <c r="AJ12" i="6" a="1"/>
  <c r="AJ12" i="6" s="1"/>
  <c r="AJ23" i="6" s="1"/>
  <c r="Y2" i="6"/>
  <c r="AK12" i="6" a="1"/>
  <c r="AK12" i="6" s="1"/>
  <c r="AK23" i="6" s="1"/>
  <c r="AL17" i="6"/>
  <c r="AL22" i="6"/>
  <c r="AM22" i="6"/>
  <c r="AM17" i="6"/>
  <c r="AK17" i="6"/>
  <c r="AK22" i="6"/>
  <c r="U1" i="6"/>
  <c r="AQ21" i="6" s="1"/>
  <c r="AF10" i="6"/>
  <c r="AG10" i="6"/>
  <c r="AJ13" i="6"/>
  <c r="AE10" i="6"/>
  <c r="I1" i="6"/>
  <c r="Z1" i="6"/>
  <c r="I2" i="6"/>
  <c r="Z2" i="6"/>
  <c r="I3" i="6"/>
  <c r="Z3" i="6"/>
  <c r="AK13" i="6"/>
  <c r="H2" i="6"/>
  <c r="J1" i="6"/>
  <c r="AA1" i="6"/>
  <c r="J2" i="6"/>
  <c r="AA2" i="6"/>
  <c r="AL13" i="6"/>
  <c r="AD10" i="6"/>
  <c r="K1" i="6"/>
  <c r="AB1" i="6"/>
  <c r="K2" i="6"/>
  <c r="AB2" i="6"/>
  <c r="AM13" i="6"/>
  <c r="Y1" i="6"/>
  <c r="H3" i="6"/>
  <c r="H4" i="6" a="1"/>
  <c r="H4" i="6" s="1"/>
  <c r="Y4" i="6" a="1"/>
  <c r="Y4" i="6" s="1"/>
  <c r="AJ11" i="6"/>
  <c r="Y3" i="6"/>
  <c r="U2" i="6"/>
  <c r="AQ16" i="6" s="1"/>
  <c r="Z4" i="6" a="1"/>
  <c r="Z4" i="6" s="1"/>
  <c r="AE10" i="4"/>
  <c r="Z1" i="4"/>
  <c r="AG30" i="4"/>
  <c r="Y1" i="4"/>
  <c r="J1" i="4"/>
  <c r="V1" i="4"/>
  <c r="AR21" i="4" s="1"/>
  <c r="K1" i="4"/>
  <c r="W1" i="4"/>
  <c r="AS21" i="4" s="1"/>
  <c r="AA1" i="4"/>
  <c r="AB1" i="4"/>
  <c r="AJ12" i="4" a="1"/>
  <c r="AJ12" i="4" s="1"/>
  <c r="AJ18" i="4" s="1"/>
  <c r="H4" i="4" a="1"/>
  <c r="H4" i="4" s="1"/>
  <c r="T4" i="4" a="1"/>
  <c r="T4" i="4" s="1"/>
  <c r="I1" i="4"/>
  <c r="U1" i="4"/>
  <c r="AQ21" i="4" s="1"/>
  <c r="T1" i="4"/>
  <c r="AP21" i="4" s="1"/>
  <c r="H1" i="4"/>
  <c r="AL12" i="4" a="1"/>
  <c r="AL12" i="4" s="1"/>
  <c r="I4" i="4" a="1"/>
  <c r="I4" i="4" s="1"/>
  <c r="U4" i="4" a="1"/>
  <c r="U4" i="4" s="1"/>
  <c r="AM12" i="4" a="1"/>
  <c r="AM12" i="4" s="1"/>
  <c r="T2" i="4"/>
  <c r="AP16" i="4" s="1"/>
  <c r="Y2" i="4"/>
  <c r="J4" i="4" a="1"/>
  <c r="J4" i="4" s="1"/>
  <c r="Z2" i="4"/>
  <c r="K4" i="4" a="1"/>
  <c r="K4" i="4" s="1"/>
  <c r="Y3" i="4"/>
  <c r="V2" i="4"/>
  <c r="AR16" i="4" s="1"/>
  <c r="W2" i="4"/>
  <c r="AS16" i="4" s="1"/>
  <c r="Z3" i="4"/>
  <c r="AA3" i="4"/>
  <c r="V4" i="4" a="1"/>
  <c r="V4" i="4" s="1"/>
  <c r="AB3" i="4"/>
  <c r="W4" i="4" a="1"/>
  <c r="W4" i="4" s="1"/>
  <c r="Y4" i="4" a="1"/>
  <c r="Y4" i="4" s="1"/>
  <c r="Z4" i="4" a="1"/>
  <c r="Z4" i="4" s="1"/>
  <c r="V3" i="4"/>
  <c r="AA4" i="4" a="1"/>
  <c r="AA4" i="4" s="1"/>
  <c r="W3" i="4"/>
  <c r="AB4" i="4" a="1"/>
  <c r="AB4" i="4" s="1"/>
  <c r="H3" i="4"/>
  <c r="T3" i="4"/>
  <c r="I3" i="4"/>
  <c r="U3" i="4"/>
  <c r="J3" i="4"/>
  <c r="AA2" i="4"/>
  <c r="AK12" i="4" a="1"/>
  <c r="AK12" i="4" s="1"/>
  <c r="K3" i="4"/>
  <c r="U2" i="4"/>
  <c r="AQ16" i="4" s="1"/>
  <c r="AB2" i="4"/>
  <c r="H2" i="4"/>
  <c r="I2" i="4"/>
  <c r="J2" i="4"/>
  <c r="K2" i="4"/>
  <c r="AJ13" i="4"/>
  <c r="AK13" i="4"/>
  <c r="AM13" i="4"/>
  <c r="AL11" i="4"/>
  <c r="AM11" i="4"/>
  <c r="AL13" i="4"/>
  <c r="AK11" i="4"/>
  <c r="AJ11" i="4"/>
  <c r="AC17" i="1"/>
  <c r="AG18" i="1"/>
  <c r="AI8" i="1"/>
  <c r="AI12" i="1" s="1"/>
  <c r="AH9" i="1"/>
  <c r="AH13" i="1" s="1"/>
  <c r="AH8" i="1"/>
  <c r="AH12" i="1" s="1"/>
  <c r="AI9" i="1"/>
  <c r="AI13" i="1" s="1"/>
  <c r="AC18" i="1"/>
  <c r="AK9" i="1"/>
  <c r="AK13" i="1" s="1"/>
  <c r="AL8" i="1"/>
  <c r="AL12" i="1" s="1"/>
  <c r="AG17" i="1"/>
  <c r="AL9" i="1"/>
  <c r="AL13" i="1" s="1"/>
  <c r="AH17" i="1"/>
  <c r="AB17" i="1"/>
  <c r="AB18" i="1"/>
  <c r="AH18" i="1"/>
  <c r="AK8" i="1"/>
  <c r="AK12" i="1" s="1"/>
  <c r="AG9" i="1"/>
  <c r="AG13" i="1" s="1"/>
  <c r="AG8" i="1"/>
  <c r="AG12" i="1" s="1"/>
  <c r="AF9" i="1"/>
  <c r="AF13" i="1" s="1"/>
  <c r="AF8" i="1"/>
  <c r="AF12" i="1" s="1"/>
  <c r="AC8" i="1"/>
  <c r="AC12" i="1" s="1"/>
  <c r="AD8" i="1"/>
  <c r="AD12" i="1" s="1"/>
  <c r="AE8" i="1"/>
  <c r="AE12" i="1" s="1"/>
  <c r="AB8" i="1"/>
  <c r="AB12" i="1" s="1"/>
  <c r="AD9" i="1"/>
  <c r="AD13" i="1" s="1"/>
  <c r="AB9" i="1"/>
  <c r="AB13" i="1" s="1"/>
  <c r="AE9" i="1"/>
  <c r="AE13" i="1" s="1"/>
  <c r="AC9" i="1"/>
  <c r="AC13" i="1" s="1"/>
  <c r="AJ18" i="6" l="1"/>
  <c r="AL23" i="6"/>
  <c r="AM23" i="6"/>
  <c r="AK18" i="6"/>
  <c r="AP13" i="6"/>
  <c r="AD3" i="6"/>
  <c r="AD2" i="6"/>
  <c r="AD1" i="6"/>
  <c r="AP12" i="6" a="1"/>
  <c r="AP12" i="6" s="1"/>
  <c r="AD4" i="6" a="1"/>
  <c r="AD4" i="6" s="1"/>
  <c r="AP11" i="6"/>
  <c r="AL24" i="6"/>
  <c r="AL19" i="6"/>
  <c r="AJ19" i="6"/>
  <c r="AJ24" i="6"/>
  <c r="AS13" i="6"/>
  <c r="AG3" i="6"/>
  <c r="AG2" i="6"/>
  <c r="AG1" i="6"/>
  <c r="AS12" i="6" a="1"/>
  <c r="AS12" i="6" s="1"/>
  <c r="AG4" i="6" a="1"/>
  <c r="AG4" i="6" s="1"/>
  <c r="AS11" i="6"/>
  <c r="AR13" i="6"/>
  <c r="AF3" i="6"/>
  <c r="AF2" i="6"/>
  <c r="AF1" i="6"/>
  <c r="AR12" i="6" a="1"/>
  <c r="AR12" i="6" s="1"/>
  <c r="AF4" i="6" a="1"/>
  <c r="AF4" i="6" s="1"/>
  <c r="AR11" i="6"/>
  <c r="AQ13" i="6"/>
  <c r="AE3" i="6"/>
  <c r="AE2" i="6"/>
  <c r="AE1" i="6"/>
  <c r="AQ12" i="6" a="1"/>
  <c r="AQ12" i="6" s="1"/>
  <c r="AE4" i="6" a="1"/>
  <c r="AE4" i="6" s="1"/>
  <c r="AQ11" i="6"/>
  <c r="AM24" i="6"/>
  <c r="AM19" i="6"/>
  <c r="AK24" i="6"/>
  <c r="AK19" i="6"/>
  <c r="AJ22" i="6"/>
  <c r="AJ17" i="6"/>
  <c r="AJ23" i="4"/>
  <c r="AK18" i="4"/>
  <c r="AK23" i="4"/>
  <c r="AL18" i="4"/>
  <c r="AL23" i="4"/>
  <c r="AS13" i="4"/>
  <c r="AM18" i="4"/>
  <c r="AM23" i="4"/>
  <c r="AM17" i="4"/>
  <c r="AM22" i="4"/>
  <c r="AQ11" i="4"/>
  <c r="AE1" i="4"/>
  <c r="AG4" i="4" a="1"/>
  <c r="AG4" i="4" s="1"/>
  <c r="AG1" i="4"/>
  <c r="AF1" i="4"/>
  <c r="AL24" i="4"/>
  <c r="AL19" i="4"/>
  <c r="AL17" i="4"/>
  <c r="AL22" i="4"/>
  <c r="AM24" i="4"/>
  <c r="AM19" i="4"/>
  <c r="AJ17" i="4"/>
  <c r="AJ22" i="4"/>
  <c r="AK22" i="4"/>
  <c r="AK17" i="4"/>
  <c r="AK24" i="4"/>
  <c r="AK19" i="4"/>
  <c r="AD1" i="4"/>
  <c r="AJ24" i="4"/>
  <c r="AJ19" i="4"/>
  <c r="AF4" i="4" a="1"/>
  <c r="AF4" i="4" s="1"/>
  <c r="AG2" i="4"/>
  <c r="AG3" i="4"/>
  <c r="AD4" i="4" a="1"/>
  <c r="AD4" i="4" s="1"/>
  <c r="AD3" i="4"/>
  <c r="AD2" i="4"/>
  <c r="AF2" i="4"/>
  <c r="AP11" i="4"/>
  <c r="AE4" i="4" a="1"/>
  <c r="AE4" i="4" s="1"/>
  <c r="AE3" i="4"/>
  <c r="AE2" i="4"/>
  <c r="AF3" i="4"/>
  <c r="AQ13" i="4"/>
  <c r="AP12" i="4" a="1"/>
  <c r="AP12" i="4" s="1"/>
  <c r="AS11" i="4"/>
  <c r="AP13" i="4"/>
  <c r="AQ12" i="4" a="1"/>
  <c r="AQ12" i="4" s="1"/>
  <c r="AS12" i="4" a="1"/>
  <c r="AS12" i="4" s="1"/>
  <c r="AR12" i="4" a="1"/>
  <c r="AR12" i="4" s="1"/>
  <c r="AR13" i="4"/>
  <c r="AR11" i="4"/>
  <c r="AI17" i="1"/>
  <c r="AI18" i="1"/>
  <c r="AQ22" i="6" l="1"/>
  <c r="AQ17" i="6"/>
  <c r="AS24" i="6"/>
  <c r="AS19" i="6"/>
  <c r="AP23" i="6"/>
  <c r="AP18" i="6"/>
  <c r="AQ23" i="6"/>
  <c r="AQ18" i="6"/>
  <c r="AS23" i="6"/>
  <c r="AS18" i="6"/>
  <c r="AR23" i="6"/>
  <c r="AR18" i="6"/>
  <c r="AR24" i="6"/>
  <c r="AR19" i="6"/>
  <c r="AS22" i="6"/>
  <c r="AS17" i="6"/>
  <c r="AQ24" i="6"/>
  <c r="AQ19" i="6"/>
  <c r="AP22" i="6"/>
  <c r="AP17" i="6"/>
  <c r="AR22" i="6"/>
  <c r="AR17" i="6"/>
  <c r="AP24" i="6"/>
  <c r="AP19" i="6"/>
  <c r="AS18" i="4"/>
  <c r="AS23" i="4"/>
  <c r="AP19" i="4"/>
  <c r="AP24" i="4"/>
  <c r="AQ18" i="4"/>
  <c r="AQ23" i="4"/>
  <c r="AS24" i="4"/>
  <c r="AS19" i="4"/>
  <c r="AR18" i="4"/>
  <c r="AR23" i="4"/>
  <c r="AQ17" i="4"/>
  <c r="AQ22" i="4"/>
  <c r="AQ19" i="4"/>
  <c r="AQ24" i="4"/>
  <c r="AP18" i="4"/>
  <c r="AP23" i="4"/>
  <c r="AS17" i="4"/>
  <c r="AS22" i="4"/>
  <c r="AR22" i="4"/>
  <c r="AR17" i="4"/>
  <c r="AR24" i="4"/>
  <c r="AR19" i="4"/>
  <c r="AP22" i="4"/>
  <c r="AP17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<sst xmlns="http://schemas.openxmlformats.org/spreadsheetml/2006/main" count="300" uniqueCount="47">
  <si>
    <t>blue_square</t>
    <phoneticPr fontId="2" type="noConversion"/>
  </si>
  <si>
    <t>X1_ori</t>
    <phoneticPr fontId="2" type="noConversion"/>
  </si>
  <si>
    <t>Y1_ori</t>
    <phoneticPr fontId="2" type="noConversion"/>
  </si>
  <si>
    <t>X1_digi</t>
    <phoneticPr fontId="2" type="noConversion"/>
  </si>
  <si>
    <t>Y1_digi</t>
    <phoneticPr fontId="2" type="noConversion"/>
  </si>
  <si>
    <t>dx_err</t>
    <phoneticPr fontId="2" type="noConversion"/>
  </si>
  <si>
    <t>dy_err</t>
    <phoneticPr fontId="2" type="noConversion"/>
  </si>
  <si>
    <t>avg</t>
    <phoneticPr fontId="2" type="noConversion"/>
  </si>
  <si>
    <t>stdev.s</t>
    <phoneticPr fontId="2" type="noConversion"/>
  </si>
  <si>
    <t>X2_digi</t>
    <phoneticPr fontId="2" type="noConversion"/>
  </si>
  <si>
    <t>Y2_digi</t>
    <phoneticPr fontId="2" type="noConversion"/>
  </si>
  <si>
    <t>X2_ori</t>
    <phoneticPr fontId="2" type="noConversion"/>
  </si>
  <si>
    <t>Y2_ori</t>
    <phoneticPr fontId="2" type="noConversion"/>
  </si>
  <si>
    <t>max</t>
    <phoneticPr fontId="2" type="noConversion"/>
  </si>
  <si>
    <t>300dpi</t>
    <phoneticPr fontId="2" type="noConversion"/>
  </si>
  <si>
    <t>72dpi</t>
    <phoneticPr fontId="2" type="noConversion"/>
  </si>
  <si>
    <t>triangle</t>
    <phoneticPr fontId="2" type="noConversion"/>
  </si>
  <si>
    <t>72 dpi</t>
    <phoneticPr fontId="2" type="noConversion"/>
  </si>
  <si>
    <t>300 dpi</t>
    <phoneticPr fontId="2" type="noConversion"/>
  </si>
  <si>
    <t>red</t>
    <phoneticPr fontId="2" type="noConversion"/>
  </si>
  <si>
    <t>blue</t>
    <phoneticPr fontId="2" type="noConversion"/>
  </si>
  <si>
    <t>1/X1_ori</t>
    <phoneticPr fontId="2" type="noConversion"/>
  </si>
  <si>
    <t>1/Y1_ori</t>
    <phoneticPr fontId="2" type="noConversion"/>
  </si>
  <si>
    <t>1/X2_ori</t>
    <phoneticPr fontId="2" type="noConversion"/>
  </si>
  <si>
    <t>1/Y2_ori</t>
    <phoneticPr fontId="2" type="noConversion"/>
  </si>
  <si>
    <t>1/X1_digi</t>
    <phoneticPr fontId="2" type="noConversion"/>
  </si>
  <si>
    <t>1/Y1_digi</t>
    <phoneticPr fontId="2" type="noConversion"/>
  </si>
  <si>
    <t>1/X2_digi</t>
    <phoneticPr fontId="2" type="noConversion"/>
  </si>
  <si>
    <t>1/Y2_digi</t>
    <phoneticPr fontId="2" type="noConversion"/>
  </si>
  <si>
    <t>normal</t>
    <phoneticPr fontId="2" type="noConversion"/>
  </si>
  <si>
    <t>reci</t>
    <phoneticPr fontId="2" type="noConversion"/>
  </si>
  <si>
    <t>meanErr</t>
    <phoneticPr fontId="2" type="noConversion"/>
  </si>
  <si>
    <t>err stdev.s</t>
    <phoneticPr fontId="2" type="noConversion"/>
  </si>
  <si>
    <t>min</t>
    <phoneticPr fontId="2" type="noConversion"/>
  </si>
  <si>
    <t>max of abs</t>
    <phoneticPr fontId="2" type="noConversion"/>
  </si>
  <si>
    <t>rel stdev.s</t>
    <phoneticPr fontId="2" type="noConversion"/>
  </si>
  <si>
    <t>rel maxErr</t>
    <phoneticPr fontId="2" type="noConversion"/>
  </si>
  <si>
    <t>maxErr</t>
    <phoneticPr fontId="2" type="noConversion"/>
  </si>
  <si>
    <t>rel meanErr</t>
    <phoneticPr fontId="2" type="noConversion"/>
  </si>
  <si>
    <t>peak value</t>
    <phoneticPr fontId="2" type="noConversion"/>
  </si>
  <si>
    <t>avg value</t>
    <phoneticPr fontId="2" type="noConversion"/>
  </si>
  <si>
    <t>Human error analysis for random distributed data points</t>
    <phoneticPr fontId="2" type="noConversion"/>
  </si>
  <si>
    <t>(digitized and reevaluated values)</t>
    <phoneticPr fontId="2" type="noConversion"/>
  </si>
  <si>
    <t>err = raw - reeval</t>
    <phoneticPr fontId="2" type="noConversion"/>
  </si>
  <si>
    <t>1) digitization and dpi effects</t>
    <phoneticPr fontId="2" type="noConversion"/>
  </si>
  <si>
    <t>2) reciprocal effects</t>
    <phoneticPr fontId="2" type="noConversion"/>
  </si>
  <si>
    <t>dpi low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</si>
</sst>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3" fillId="0" borderId="0" xfId="0" applyFont="1">
      <alignment vertical="center"/>
    </xf>
    <xf numFmtId="10" fontId="3" fillId="0" borderId="0" xfId="1" applyNumberFormat="1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10" fontId="3" fillId="0" borderId="1" xfId="1" applyNumberFormat="1" applyFont="1" applyBorder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</xdr:row>
      <xdr:rowOff>0</xdr:rowOff>
    </xdr:from>
    <xdr:to>
      <xdr:col>7</xdr:col>
      <xdr:colOff>456800</xdr:colOff>
      <xdr:row>19</xdr:row>
      <xdr:rowOff>171107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660AA30-56F9-46E4-AF65-3735DF79B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0" y="1500188"/>
          <a:ext cx="3200000" cy="27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12</xdr:col>
      <xdr:colOff>457207</xdr:colOff>
      <xdr:row>19</xdr:row>
      <xdr:rowOff>171456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7E7F16E-CADA-4A4D-B0F6-4BA1FB12B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1500188"/>
          <a:ext cx="3200407" cy="27432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0</xdr:colOff>
      <xdr:row>25</xdr:row>
      <xdr:rowOff>0</xdr:rowOff>
    </xdr:from>
    <xdr:to>
      <xdr:col>39</xdr:col>
      <xdr:colOff>352025</xdr:colOff>
      <xdr:row>37</xdr:row>
      <xdr:rowOff>171107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8F02133-C31E-4357-987C-F3F3418AD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98588" y="5322794"/>
          <a:ext cx="3198319" cy="2726048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25</xdr:row>
      <xdr:rowOff>0</xdr:rowOff>
    </xdr:from>
    <xdr:to>
      <xdr:col>46</xdr:col>
      <xdr:colOff>21858</xdr:colOff>
      <xdr:row>37</xdr:row>
      <xdr:rowOff>171456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465DAA1-689F-402B-BBBC-9E52E7EB6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37941" y="5322794"/>
          <a:ext cx="3198726" cy="272639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0</xdr:colOff>
      <xdr:row>25</xdr:row>
      <xdr:rowOff>0</xdr:rowOff>
    </xdr:from>
    <xdr:to>
      <xdr:col>39</xdr:col>
      <xdr:colOff>352025</xdr:colOff>
      <xdr:row>37</xdr:row>
      <xdr:rowOff>171107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74E9A6F-C8AC-40A4-B54A-1159536C3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98588" y="5322794"/>
          <a:ext cx="3198319" cy="2726048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25</xdr:row>
      <xdr:rowOff>0</xdr:rowOff>
    </xdr:from>
    <xdr:to>
      <xdr:col>46</xdr:col>
      <xdr:colOff>21858</xdr:colOff>
      <xdr:row>37</xdr:row>
      <xdr:rowOff>171456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5028D42-113A-451D-8C38-3F233806B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37941" y="5322794"/>
          <a:ext cx="3198726" cy="27263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D6DC6-1497-4CB7-9949-6EA3EB8E247F}">
  <dimension ref="D5:J5"/>
  <sheetViews>
    <sheetView workbookViewId="0">
      <selection activeCell="C4" sqref="C4:N21"/>
    </sheetView>
  </sheetViews>
  <sheetFormatPr defaultRowHeight="17" x14ac:dyDescent="0.45"/>
  <sheetData>
    <row r="5" spans="4:10" x14ac:dyDescent="0.45">
      <c r="D5" t="s">
        <v>17</v>
      </c>
      <c r="J5" t="s">
        <v>18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61D2C-BF7B-4983-AA9E-6B55C107996D}">
  <dimension ref="B4:AL36"/>
  <sheetViews>
    <sheetView workbookViewId="0">
      <selection activeCell="G4" sqref="G4:O6"/>
    </sheetView>
  </sheetViews>
  <sheetFormatPr defaultRowHeight="17" x14ac:dyDescent="0.45"/>
  <cols>
    <col min="2" max="15" width="5.75" customWidth="1"/>
    <col min="17" max="25" width="5.75" customWidth="1"/>
    <col min="28" max="35" width="5.75" customWidth="1"/>
  </cols>
  <sheetData>
    <row r="4" spans="2:38" x14ac:dyDescent="0.45">
      <c r="B4" t="s">
        <v>0</v>
      </c>
      <c r="C4" t="s">
        <v>0</v>
      </c>
      <c r="D4" t="s">
        <v>16</v>
      </c>
      <c r="G4" s="1" t="s">
        <v>0</v>
      </c>
      <c r="H4" s="1" t="s">
        <v>0</v>
      </c>
      <c r="I4" s="1" t="s">
        <v>19</v>
      </c>
      <c r="J4" s="1" t="s">
        <v>19</v>
      </c>
      <c r="K4" s="1"/>
      <c r="L4" s="1" t="s">
        <v>0</v>
      </c>
      <c r="M4" s="1" t="s">
        <v>0</v>
      </c>
      <c r="N4" s="1" t="s">
        <v>19</v>
      </c>
      <c r="O4" s="1" t="s">
        <v>19</v>
      </c>
      <c r="Q4" s="1" t="s">
        <v>20</v>
      </c>
      <c r="R4" s="1" t="s">
        <v>20</v>
      </c>
      <c r="S4" s="1" t="s">
        <v>19</v>
      </c>
      <c r="T4" s="1" t="s">
        <v>19</v>
      </c>
      <c r="U4" s="1"/>
      <c r="V4" s="1" t="s">
        <v>20</v>
      </c>
      <c r="W4" s="1" t="s">
        <v>20</v>
      </c>
      <c r="X4" s="1" t="s">
        <v>19</v>
      </c>
      <c r="Y4" s="1" t="s">
        <v>19</v>
      </c>
      <c r="AB4" s="1"/>
      <c r="AC4" s="1"/>
      <c r="AD4" s="1"/>
      <c r="AE4" s="1"/>
      <c r="AF4" s="1"/>
      <c r="AG4" s="1"/>
      <c r="AH4" s="1"/>
      <c r="AI4" s="1"/>
    </row>
    <row r="5" spans="2:38" x14ac:dyDescent="0.45">
      <c r="G5" s="1" t="s">
        <v>14</v>
      </c>
      <c r="H5" s="1" t="s">
        <v>14</v>
      </c>
      <c r="I5" s="1" t="s">
        <v>14</v>
      </c>
      <c r="J5" s="1" t="s">
        <v>14</v>
      </c>
      <c r="K5" s="1"/>
      <c r="L5" s="1" t="s">
        <v>15</v>
      </c>
      <c r="M5" s="1" t="s">
        <v>15</v>
      </c>
      <c r="N5" s="1" t="s">
        <v>15</v>
      </c>
      <c r="O5" s="1" t="s">
        <v>15</v>
      </c>
      <c r="Q5" s="1" t="s">
        <v>14</v>
      </c>
      <c r="R5" s="1" t="s">
        <v>14</v>
      </c>
      <c r="S5" s="1" t="s">
        <v>14</v>
      </c>
      <c r="T5" s="1" t="s">
        <v>14</v>
      </c>
      <c r="U5" s="1"/>
      <c r="V5" s="1" t="s">
        <v>15</v>
      </c>
      <c r="W5" s="1" t="s">
        <v>15</v>
      </c>
      <c r="X5" s="1" t="s">
        <v>15</v>
      </c>
      <c r="Y5" s="1" t="s">
        <v>15</v>
      </c>
      <c r="AB5" s="1"/>
      <c r="AC5" s="1"/>
      <c r="AD5" s="1"/>
      <c r="AE5" s="1"/>
      <c r="AF5" s="1"/>
      <c r="AG5" s="1"/>
      <c r="AH5" s="1"/>
      <c r="AI5" s="1"/>
    </row>
    <row r="6" spans="2:38" x14ac:dyDescent="0.45">
      <c r="B6" s="1" t="s">
        <v>1</v>
      </c>
      <c r="C6" s="1" t="s">
        <v>2</v>
      </c>
      <c r="D6" s="1" t="s">
        <v>11</v>
      </c>
      <c r="E6" s="1" t="s">
        <v>12</v>
      </c>
      <c r="F6" s="1"/>
      <c r="G6" s="1" t="s">
        <v>3</v>
      </c>
      <c r="H6" s="1" t="s">
        <v>4</v>
      </c>
      <c r="I6" s="1" t="s">
        <v>9</v>
      </c>
      <c r="J6" s="1" t="s">
        <v>10</v>
      </c>
      <c r="K6" s="1"/>
      <c r="L6" s="1" t="s">
        <v>3</v>
      </c>
      <c r="M6" s="1" t="s">
        <v>4</v>
      </c>
      <c r="N6" s="1" t="s">
        <v>9</v>
      </c>
      <c r="O6" s="1" t="s">
        <v>10</v>
      </c>
      <c r="Q6" s="1" t="s">
        <v>5</v>
      </c>
      <c r="R6" s="1" t="s">
        <v>6</v>
      </c>
      <c r="S6" s="1" t="s">
        <v>5</v>
      </c>
      <c r="T6" s="1" t="s">
        <v>6</v>
      </c>
      <c r="U6" s="1"/>
      <c r="V6" s="1" t="s">
        <v>5</v>
      </c>
      <c r="W6" s="1" t="s">
        <v>6</v>
      </c>
      <c r="X6" s="1" t="s">
        <v>5</v>
      </c>
      <c r="Y6" s="1" t="s">
        <v>6</v>
      </c>
      <c r="AB6" s="1" t="s">
        <v>14</v>
      </c>
      <c r="AC6" s="1" t="s">
        <v>14</v>
      </c>
      <c r="AD6" s="1" t="s">
        <v>14</v>
      </c>
      <c r="AE6" s="1" t="s">
        <v>14</v>
      </c>
      <c r="AF6" s="1" t="s">
        <v>15</v>
      </c>
      <c r="AG6" s="1" t="s">
        <v>15</v>
      </c>
      <c r="AH6" s="1" t="s">
        <v>15</v>
      </c>
      <c r="AI6" s="1" t="s">
        <v>15</v>
      </c>
    </row>
    <row r="7" spans="2:38" x14ac:dyDescent="0.45">
      <c r="B7" s="1">
        <v>0.61929109000000004</v>
      </c>
      <c r="C7" s="1">
        <v>96.887734350000002</v>
      </c>
      <c r="D7" s="1">
        <v>5.0170181700000001</v>
      </c>
      <c r="E7" s="1">
        <v>57.052771679999999</v>
      </c>
      <c r="F7" s="1"/>
      <c r="G7" s="1">
        <v>0.57020669992872097</v>
      </c>
      <c r="H7" s="1">
        <v>96.887796887796796</v>
      </c>
      <c r="I7" s="1">
        <v>4.91803278688523</v>
      </c>
      <c r="J7" s="1">
        <v>56.674856674856599</v>
      </c>
      <c r="K7" s="1"/>
      <c r="L7" s="1">
        <v>0.305576776165004</v>
      </c>
      <c r="M7" s="1">
        <v>97.030567685589503</v>
      </c>
      <c r="N7">
        <v>4.7364400305576799</v>
      </c>
      <c r="O7">
        <v>56.244541484716102</v>
      </c>
      <c r="Q7" s="1">
        <f t="shared" ref="Q7:Q36" si="0">G7-B7</f>
        <v>-4.9084390071279071E-2</v>
      </c>
      <c r="R7" s="1">
        <f t="shared" ref="R7:R36" si="1">H7-C7</f>
        <v>6.2537796793549205E-5</v>
      </c>
      <c r="S7" s="1">
        <f t="shared" ref="S7:S36" si="2">I7-D7</f>
        <v>-9.8985383114770009E-2</v>
      </c>
      <c r="T7" s="1">
        <f t="shared" ref="T7:T36" si="3">J7-E7</f>
        <v>-0.37791500514340015</v>
      </c>
      <c r="U7" s="1"/>
      <c r="V7" s="1">
        <f t="shared" ref="V7:V36" si="4">L7-B7</f>
        <v>-0.31371431383499604</v>
      </c>
      <c r="W7" s="1">
        <f t="shared" ref="W7:W36" si="5">M7-C7</f>
        <v>0.14283333558950062</v>
      </c>
      <c r="X7" s="1">
        <f t="shared" ref="X7:X36" si="6">N7-D7</f>
        <v>-0.28057813944232013</v>
      </c>
      <c r="Y7" s="1">
        <f t="shared" ref="Y7:Y36" si="7">O7-E7</f>
        <v>-0.8082301952838975</v>
      </c>
      <c r="AB7" s="1" t="s">
        <v>5</v>
      </c>
      <c r="AC7" s="1" t="s">
        <v>6</v>
      </c>
      <c r="AD7" s="1" t="s">
        <v>5</v>
      </c>
      <c r="AE7" s="1" t="s">
        <v>6</v>
      </c>
      <c r="AF7" s="1" t="s">
        <v>5</v>
      </c>
      <c r="AG7" s="1" t="s">
        <v>6</v>
      </c>
      <c r="AH7" s="1" t="s">
        <v>5</v>
      </c>
      <c r="AI7" s="1" t="s">
        <v>6</v>
      </c>
    </row>
    <row r="8" spans="2:38" x14ac:dyDescent="0.45">
      <c r="B8" s="1">
        <v>1.01005926</v>
      </c>
      <c r="C8" s="1">
        <v>40.619276669999998</v>
      </c>
      <c r="D8" s="1">
        <v>10.072006399999999</v>
      </c>
      <c r="E8" s="1">
        <v>16.915309789999998</v>
      </c>
      <c r="F8" s="1"/>
      <c r="G8" s="1">
        <v>0.92658588738417402</v>
      </c>
      <c r="H8" s="1">
        <v>40.6224406224406</v>
      </c>
      <c r="I8" s="1">
        <v>10.049893086243699</v>
      </c>
      <c r="J8" s="1">
        <v>16.543816543816501</v>
      </c>
      <c r="K8" s="1"/>
      <c r="L8" s="1">
        <v>0.84033613445377497</v>
      </c>
      <c r="M8" s="1">
        <v>40.786026200873302</v>
      </c>
      <c r="N8">
        <v>9.7784568372803502</v>
      </c>
      <c r="O8">
        <v>16.855895196506498</v>
      </c>
      <c r="Q8" s="1">
        <f t="shared" si="0"/>
        <v>-8.3473372615825991E-2</v>
      </c>
      <c r="R8" s="1">
        <f t="shared" si="1"/>
        <v>3.1639524406017472E-3</v>
      </c>
      <c r="S8" s="1">
        <f t="shared" si="2"/>
        <v>-2.2113313756300101E-2</v>
      </c>
      <c r="T8" s="1">
        <f t="shared" si="3"/>
        <v>-0.37149324618349766</v>
      </c>
      <c r="U8" s="1"/>
      <c r="V8" s="1">
        <f t="shared" si="4"/>
        <v>-0.16972312554622504</v>
      </c>
      <c r="W8" s="1">
        <f t="shared" si="5"/>
        <v>0.1667495308733038</v>
      </c>
      <c r="X8" s="1">
        <f t="shared" si="6"/>
        <v>-0.29354956271964916</v>
      </c>
      <c r="Y8" s="1">
        <f t="shared" si="7"/>
        <v>-5.9414593493499979E-2</v>
      </c>
      <c r="AA8" t="s">
        <v>7</v>
      </c>
      <c r="AB8" s="1">
        <f>AVERAGE(Q7:Q36)</f>
        <v>-6.1838619650328906E-2</v>
      </c>
      <c r="AC8" s="1">
        <f>AVERAGE(R7:R36)</f>
        <v>-5.1363950838426146E-2</v>
      </c>
      <c r="AD8" s="1">
        <f>AVERAGE(S7:S36)</f>
        <v>-3.8536466562885341E-2</v>
      </c>
      <c r="AE8" s="1">
        <f>AVERAGE(T7:T36)</f>
        <v>-0.303340633442582</v>
      </c>
      <c r="AF8" s="1">
        <f>AVERAGE(V7:V36)</f>
        <v>-8.50073506300347E-2</v>
      </c>
      <c r="AG8" s="1">
        <f>AVERAGE(W7:W36)</f>
        <v>3.2619993407530253E-2</v>
      </c>
      <c r="AH8" s="1">
        <f>AVERAGE(X7:X36)</f>
        <v>-6.5587525436509225E-2</v>
      </c>
      <c r="AI8" s="1">
        <f>AVERAGE(Y7:Y36)</f>
        <v>-0.41036389330426926</v>
      </c>
      <c r="AK8" s="1">
        <f>AVERAGE(Q:Q,S:S,V:V,X:X)</f>
        <v>-6.2742490569939552E-2</v>
      </c>
      <c r="AL8" s="1">
        <f>AVERAGE(R:R,T:T,W:W,Y:Y)</f>
        <v>-0.18311212104443675</v>
      </c>
    </row>
    <row r="9" spans="2:38" x14ac:dyDescent="0.45">
      <c r="B9" s="1">
        <v>5.9755596600000001</v>
      </c>
      <c r="C9" s="1">
        <v>71.766181930000002</v>
      </c>
      <c r="D9" s="1">
        <v>12.847396079999999</v>
      </c>
      <c r="E9" s="1">
        <v>98.801536670000004</v>
      </c>
      <c r="F9" s="1"/>
      <c r="G9" s="1">
        <v>5.8446186742694097</v>
      </c>
      <c r="H9" s="1">
        <v>71.662571662571594</v>
      </c>
      <c r="I9" s="1">
        <v>12.829650748396199</v>
      </c>
      <c r="J9" s="1">
        <v>98.443898443898405</v>
      </c>
      <c r="K9" s="1"/>
      <c r="L9" s="1">
        <v>5.8059587471352101</v>
      </c>
      <c r="M9" s="1">
        <v>71.353711790393007</v>
      </c>
      <c r="N9">
        <v>12.605042016806699</v>
      </c>
      <c r="O9">
        <v>98.253275109170303</v>
      </c>
      <c r="Q9" s="1">
        <f t="shared" si="0"/>
        <v>-0.13094098573059032</v>
      </c>
      <c r="R9" s="1">
        <f t="shared" si="1"/>
        <v>-0.10361026742840806</v>
      </c>
      <c r="S9" s="1">
        <f t="shared" si="2"/>
        <v>-1.7745331603800096E-2</v>
      </c>
      <c r="T9" s="1">
        <f t="shared" si="3"/>
        <v>-0.35763822610159934</v>
      </c>
      <c r="U9" s="1"/>
      <c r="V9" s="1">
        <f t="shared" si="4"/>
        <v>-0.16960091286478995</v>
      </c>
      <c r="W9" s="1">
        <f t="shared" si="5"/>
        <v>-0.41247013960699519</v>
      </c>
      <c r="X9" s="1">
        <f t="shared" si="6"/>
        <v>-0.24235406319330011</v>
      </c>
      <c r="Y9" s="1">
        <f t="shared" si="7"/>
        <v>-0.54826156082970101</v>
      </c>
      <c r="AA9" t="s">
        <v>8</v>
      </c>
      <c r="AB9" s="1">
        <f>_xlfn.STDEV.S(Q7:Q36)</f>
        <v>4.990335373191479E-2</v>
      </c>
      <c r="AC9" s="1">
        <f>_xlfn.STDEV.S(R7:R36)</f>
        <v>5.1940154879321319E-2</v>
      </c>
      <c r="AD9" s="1">
        <f>_xlfn.STDEV.S(S7:S36)</f>
        <v>5.0321300205178811E-2</v>
      </c>
      <c r="AE9" s="1">
        <f>_xlfn.STDEV.S(T7:T36)</f>
        <v>5.5823933052761565E-2</v>
      </c>
      <c r="AF9" s="1">
        <f>_xlfn.STDEV.S(V7:V36)</f>
        <v>0.20502213068112957</v>
      </c>
      <c r="AG9" s="1">
        <f>_xlfn.STDEV.S(W7:W36)</f>
        <v>0.28732855503796717</v>
      </c>
      <c r="AH9" s="1">
        <f>_xlfn.STDEV.S(X7:X36)</f>
        <v>0.17645719134975543</v>
      </c>
      <c r="AI9" s="1">
        <f>_xlfn.STDEV.S(Y7:Y36)</f>
        <v>0.26219446936639113</v>
      </c>
      <c r="AK9" s="1">
        <f>_xlfn.STDEV.S(Q:Q,S:S,V:V,X:X)</f>
        <v>0.1390343946322444</v>
      </c>
      <c r="AL9" s="1">
        <f>_xlfn.STDEV.S(R:R,T:T,W:W,Y:Y)</f>
        <v>0.26657333513867226</v>
      </c>
    </row>
    <row r="10" spans="2:38" x14ac:dyDescent="0.45">
      <c r="B10" s="1">
        <v>7.5932600099999998</v>
      </c>
      <c r="C10" s="1">
        <v>54.730763549999999</v>
      </c>
      <c r="D10" s="1">
        <v>15.78603996</v>
      </c>
      <c r="E10" s="1">
        <v>66.340428489999994</v>
      </c>
      <c r="F10" s="1"/>
      <c r="G10" s="1">
        <v>7.4839629365644997</v>
      </c>
      <c r="H10" s="1">
        <v>54.627354627354599</v>
      </c>
      <c r="I10" s="1">
        <v>15.823235923022001</v>
      </c>
      <c r="J10" s="1">
        <v>65.929565929565896</v>
      </c>
      <c r="K10" s="1"/>
      <c r="L10" s="1">
        <v>7.6394194041252703</v>
      </c>
      <c r="M10" s="1">
        <v>54.759825327510903</v>
      </c>
      <c r="N10">
        <v>15.8899923605805</v>
      </c>
      <c r="O10">
        <v>65.764192139737901</v>
      </c>
      <c r="Q10" s="1">
        <f t="shared" si="0"/>
        <v>-0.1092970734355001</v>
      </c>
      <c r="R10" s="1">
        <f t="shared" si="1"/>
        <v>-0.10340892264540003</v>
      </c>
      <c r="S10" s="1">
        <f t="shared" si="2"/>
        <v>3.7195963022000456E-2</v>
      </c>
      <c r="T10" s="1">
        <f t="shared" si="3"/>
        <v>-0.41086256043409719</v>
      </c>
      <c r="U10" s="1"/>
      <c r="V10" s="1">
        <f t="shared" si="4"/>
        <v>4.6159394125270481E-2</v>
      </c>
      <c r="W10" s="1">
        <f t="shared" si="5"/>
        <v>2.9061777510904108E-2</v>
      </c>
      <c r="X10" s="1">
        <f t="shared" si="6"/>
        <v>0.10395240058049993</v>
      </c>
      <c r="Y10" s="1">
        <f t="shared" si="7"/>
        <v>-0.57623635026209286</v>
      </c>
      <c r="AB10" s="1"/>
      <c r="AC10" s="1"/>
      <c r="AD10" s="1"/>
      <c r="AE10" s="1"/>
      <c r="AF10" s="1"/>
      <c r="AG10" s="1"/>
      <c r="AH10" s="1"/>
      <c r="AI10" s="1"/>
    </row>
    <row r="11" spans="2:38" x14ac:dyDescent="0.45">
      <c r="B11" s="1">
        <v>7.8804391100000002</v>
      </c>
      <c r="C11" s="1">
        <v>3.8649807300000001</v>
      </c>
      <c r="D11" s="1">
        <v>17.017010020000001</v>
      </c>
      <c r="E11" s="1">
        <v>11.506073649999999</v>
      </c>
      <c r="F11" s="1"/>
      <c r="G11" s="1">
        <v>7.8403421240199602</v>
      </c>
      <c r="H11" s="1">
        <v>3.7674037674037399</v>
      </c>
      <c r="I11" s="1">
        <v>16.963649322879501</v>
      </c>
      <c r="J11" s="1">
        <v>11.220311220311199</v>
      </c>
      <c r="K11" s="1"/>
      <c r="L11" s="1">
        <v>7.5630252100840201</v>
      </c>
      <c r="M11" s="1">
        <v>3.84279475982532</v>
      </c>
      <c r="N11">
        <v>17.035905271199301</v>
      </c>
      <c r="O11">
        <v>11.0917030567685</v>
      </c>
      <c r="Q11" s="1">
        <f t="shared" si="0"/>
        <v>-4.0096985980039968E-2</v>
      </c>
      <c r="R11" s="1">
        <f t="shared" si="1"/>
        <v>-9.7576962596260142E-2</v>
      </c>
      <c r="S11" s="1">
        <f t="shared" si="2"/>
        <v>-5.3360697120499623E-2</v>
      </c>
      <c r="T11" s="1">
        <f t="shared" si="3"/>
        <v>-0.28576242968880017</v>
      </c>
      <c r="U11" s="1"/>
      <c r="V11" s="1">
        <f t="shared" si="4"/>
        <v>-0.31741389991598012</v>
      </c>
      <c r="W11" s="1">
        <f t="shared" si="5"/>
        <v>-2.2185970174680048E-2</v>
      </c>
      <c r="X11" s="1">
        <f t="shared" si="6"/>
        <v>1.8895251199300134E-2</v>
      </c>
      <c r="Y11" s="1">
        <f t="shared" si="7"/>
        <v>-0.41437059323149938</v>
      </c>
      <c r="AA11" t="s">
        <v>13</v>
      </c>
      <c r="AB11" s="1">
        <v>100</v>
      </c>
      <c r="AC11" s="1">
        <v>100</v>
      </c>
      <c r="AD11" s="1">
        <v>100</v>
      </c>
      <c r="AE11" s="1">
        <v>100</v>
      </c>
      <c r="AF11" s="1">
        <v>100</v>
      </c>
      <c r="AG11" s="1">
        <v>100</v>
      </c>
      <c r="AH11" s="1">
        <v>100</v>
      </c>
      <c r="AI11" s="1">
        <v>100</v>
      </c>
      <c r="AK11" s="1">
        <v>100</v>
      </c>
      <c r="AL11" s="1">
        <v>100</v>
      </c>
    </row>
    <row r="12" spans="2:38" x14ac:dyDescent="0.45">
      <c r="B12" s="1">
        <v>18.96126589</v>
      </c>
      <c r="C12" s="1">
        <v>97.130704170000001</v>
      </c>
      <c r="D12" s="1">
        <v>17.326133760000001</v>
      </c>
      <c r="E12" s="1">
        <v>28.120390660000002</v>
      </c>
      <c r="F12" s="1"/>
      <c r="G12" s="1">
        <v>18.8168210976478</v>
      </c>
      <c r="H12" s="1">
        <v>97.051597051597</v>
      </c>
      <c r="I12" s="1">
        <v>17.248752672843899</v>
      </c>
      <c r="J12" s="1">
        <v>27.7641277641277</v>
      </c>
      <c r="K12" s="1"/>
      <c r="L12" s="1">
        <v>18.640183346065701</v>
      </c>
      <c r="M12" s="1">
        <v>96.855895196506495</v>
      </c>
      <c r="N12">
        <v>17.035905271199301</v>
      </c>
      <c r="O12">
        <v>27.598253275109101</v>
      </c>
      <c r="Q12" s="1">
        <f t="shared" si="0"/>
        <v>-0.14444479235219987</v>
      </c>
      <c r="R12" s="1">
        <f t="shared" si="1"/>
        <v>-7.9107118403001664E-2</v>
      </c>
      <c r="S12" s="1">
        <f t="shared" si="2"/>
        <v>-7.7381087156101813E-2</v>
      </c>
      <c r="T12" s="1">
        <f t="shared" si="3"/>
        <v>-0.35626289587230175</v>
      </c>
      <c r="U12" s="1"/>
      <c r="V12" s="1">
        <f t="shared" si="4"/>
        <v>-0.32108254393429903</v>
      </c>
      <c r="W12" s="1">
        <f t="shared" si="5"/>
        <v>-0.27480897349350641</v>
      </c>
      <c r="X12" s="1">
        <f t="shared" si="6"/>
        <v>-0.29022848880070029</v>
      </c>
      <c r="Y12" s="1">
        <f t="shared" si="7"/>
        <v>-0.52213738489090034</v>
      </c>
      <c r="AA12" t="s">
        <v>7</v>
      </c>
      <c r="AB12" s="2">
        <f>AB8/AB$11</f>
        <v>-6.1838619650328908E-4</v>
      </c>
      <c r="AC12" s="2">
        <f t="shared" ref="AC12:AE12" si="8">AC8/AC$11</f>
        <v>-5.1363950838426143E-4</v>
      </c>
      <c r="AD12" s="2">
        <f t="shared" si="8"/>
        <v>-3.8536466562885343E-4</v>
      </c>
      <c r="AE12" s="2">
        <f t="shared" si="8"/>
        <v>-3.0334063344258201E-3</v>
      </c>
      <c r="AF12" s="2">
        <f t="shared" ref="AF12:AG12" si="9">AF8/AF$11</f>
        <v>-8.5007350630034704E-4</v>
      </c>
      <c r="AG12" s="2">
        <f t="shared" si="9"/>
        <v>3.2619993407530251E-4</v>
      </c>
      <c r="AH12" s="2">
        <f t="shared" ref="AH12:AI12" si="10">AH8/AH$11</f>
        <v>-6.5587525436509224E-4</v>
      </c>
      <c r="AI12" s="2">
        <f t="shared" si="10"/>
        <v>-4.1036389330426923E-3</v>
      </c>
      <c r="AK12" s="2">
        <f t="shared" ref="AK12:AL12" si="11">AK8/AK$11</f>
        <v>-6.2742490569939549E-4</v>
      </c>
      <c r="AL12" s="2">
        <f t="shared" si="11"/>
        <v>-1.8311212104443675E-3</v>
      </c>
    </row>
    <row r="13" spans="2:38" x14ac:dyDescent="0.45">
      <c r="B13" s="1">
        <v>27.488892379999999</v>
      </c>
      <c r="C13" s="1">
        <v>73.26650223</v>
      </c>
      <c r="D13" s="1">
        <v>19.610628680000001</v>
      </c>
      <c r="E13" s="1">
        <v>20.47860184</v>
      </c>
      <c r="F13" s="1"/>
      <c r="G13" s="1">
        <v>27.369921596578699</v>
      </c>
      <c r="H13" s="1">
        <v>73.218673218673203</v>
      </c>
      <c r="I13" s="1">
        <v>19.529579472558801</v>
      </c>
      <c r="J13" s="1">
        <v>20.1474201474201</v>
      </c>
      <c r="K13" s="1"/>
      <c r="L13" s="1">
        <v>27.5783040488922</v>
      </c>
      <c r="M13" s="1">
        <v>73.449781659388606</v>
      </c>
      <c r="N13">
        <v>19.327731092436899</v>
      </c>
      <c r="O13">
        <v>19.9126637554585</v>
      </c>
      <c r="Q13" s="1">
        <f t="shared" si="0"/>
        <v>-0.1189707834213003</v>
      </c>
      <c r="R13" s="1">
        <f t="shared" si="1"/>
        <v>-4.7829011326797399E-2</v>
      </c>
      <c r="S13" s="1">
        <f t="shared" si="2"/>
        <v>-8.1049207441200366E-2</v>
      </c>
      <c r="T13" s="1">
        <f t="shared" si="3"/>
        <v>-0.33118169257990004</v>
      </c>
      <c r="U13" s="1"/>
      <c r="V13" s="1">
        <f t="shared" si="4"/>
        <v>8.9411668892200424E-2</v>
      </c>
      <c r="W13" s="1">
        <f t="shared" si="5"/>
        <v>0.18327942938860531</v>
      </c>
      <c r="X13" s="1">
        <f t="shared" si="6"/>
        <v>-0.28289758756310235</v>
      </c>
      <c r="Y13" s="1">
        <f t="shared" si="7"/>
        <v>-0.56593808454150007</v>
      </c>
      <c r="AA13" t="s">
        <v>8</v>
      </c>
      <c r="AB13" s="2">
        <f t="shared" ref="AB13:AE13" si="12">AB9/AB$11</f>
        <v>4.9903353731914791E-4</v>
      </c>
      <c r="AC13" s="2">
        <f t="shared" si="12"/>
        <v>5.1940154879321319E-4</v>
      </c>
      <c r="AD13" s="2">
        <f t="shared" si="12"/>
        <v>5.0321300205178807E-4</v>
      </c>
      <c r="AE13" s="2">
        <f t="shared" si="12"/>
        <v>5.5823933052761567E-4</v>
      </c>
      <c r="AF13" s="2">
        <f t="shared" ref="AF13:AG13" si="13">AF9/AF$11</f>
        <v>2.0502213068112956E-3</v>
      </c>
      <c r="AG13" s="2">
        <f t="shared" si="13"/>
        <v>2.8732855503796717E-3</v>
      </c>
      <c r="AH13" s="2">
        <f t="shared" ref="AH13:AI13" si="14">AH9/AH$11</f>
        <v>1.7645719134975542E-3</v>
      </c>
      <c r="AI13" s="2">
        <f t="shared" si="14"/>
        <v>2.6219446936639112E-3</v>
      </c>
      <c r="AK13" s="2">
        <f t="shared" ref="AK13:AL13" si="15">AK9/AK$11</f>
        <v>1.3903439463224441E-3</v>
      </c>
      <c r="AL13" s="2">
        <f t="shared" si="15"/>
        <v>2.6657333513867227E-3</v>
      </c>
    </row>
    <row r="14" spans="2:38" x14ac:dyDescent="0.45">
      <c r="B14" s="1">
        <v>33.628172839999998</v>
      </c>
      <c r="C14" s="1">
        <v>34.086951380000002</v>
      </c>
      <c r="D14" s="1">
        <v>24.760951380000002</v>
      </c>
      <c r="E14" s="1">
        <v>46.63482003</v>
      </c>
      <c r="F14" s="1"/>
      <c r="G14" s="1">
        <v>33.499643620812499</v>
      </c>
      <c r="H14" s="1">
        <v>34.070434070433997</v>
      </c>
      <c r="I14" s="1">
        <v>24.732715609408402</v>
      </c>
      <c r="J14" s="1">
        <v>46.437346437346399</v>
      </c>
      <c r="K14" s="1"/>
      <c r="L14" s="1">
        <v>33.766233766233697</v>
      </c>
      <c r="M14" s="1">
        <v>34.235807860262</v>
      </c>
      <c r="N14">
        <v>24.751718869365899</v>
      </c>
      <c r="O14">
        <v>46.026200873362399</v>
      </c>
      <c r="Q14" s="1">
        <f t="shared" si="0"/>
        <v>-0.12852921918749871</v>
      </c>
      <c r="R14" s="1">
        <f t="shared" si="1"/>
        <v>-1.6517309566005167E-2</v>
      </c>
      <c r="S14" s="1">
        <f t="shared" si="2"/>
        <v>-2.8235770591599874E-2</v>
      </c>
      <c r="T14" s="1">
        <f t="shared" si="3"/>
        <v>-0.19747359265360132</v>
      </c>
      <c r="U14" s="1"/>
      <c r="V14" s="1">
        <f t="shared" si="4"/>
        <v>0.13806092623369892</v>
      </c>
      <c r="W14" s="1">
        <f t="shared" si="5"/>
        <v>0.1488564802619976</v>
      </c>
      <c r="X14" s="1">
        <f t="shared" si="6"/>
        <v>-9.2325106341029084E-3</v>
      </c>
      <c r="Y14" s="1">
        <f t="shared" si="7"/>
        <v>-0.60861915663760158</v>
      </c>
      <c r="AD14" s="1"/>
      <c r="AE14" s="1"/>
      <c r="AF14" s="1"/>
      <c r="AG14" s="1"/>
      <c r="AH14" s="1"/>
      <c r="AI14" s="1"/>
    </row>
    <row r="15" spans="2:38" x14ac:dyDescent="0.45">
      <c r="B15" s="1">
        <v>34.344647449999997</v>
      </c>
      <c r="C15" s="1">
        <v>88.822713419999999</v>
      </c>
      <c r="D15" s="1">
        <v>24.961328779999999</v>
      </c>
      <c r="E15" s="1">
        <v>49.428060109999997</v>
      </c>
      <c r="F15" s="1"/>
      <c r="G15" s="1">
        <v>34.354953670705598</v>
      </c>
      <c r="H15" s="1">
        <v>88.779688779688698</v>
      </c>
      <c r="I15" s="1">
        <v>24.803991446899399</v>
      </c>
      <c r="J15" s="1">
        <v>49.140049140049101</v>
      </c>
      <c r="K15" s="1"/>
      <c r="L15" s="1">
        <v>34.377387318563699</v>
      </c>
      <c r="M15" s="1">
        <v>88.558951965065503</v>
      </c>
      <c r="N15">
        <v>24.828113063407098</v>
      </c>
      <c r="O15">
        <v>49.519650655021799</v>
      </c>
      <c r="Q15" s="1">
        <f t="shared" si="0"/>
        <v>1.0306220705601277E-2</v>
      </c>
      <c r="R15" s="1">
        <f t="shared" si="1"/>
        <v>-4.302464031130171E-2</v>
      </c>
      <c r="S15" s="1">
        <f t="shared" si="2"/>
        <v>-0.15733733310059961</v>
      </c>
      <c r="T15" s="1">
        <f t="shared" si="3"/>
        <v>-0.28801096995089637</v>
      </c>
      <c r="U15" s="1"/>
      <c r="V15" s="1">
        <f t="shared" si="4"/>
        <v>3.2739868563702146E-2</v>
      </c>
      <c r="W15" s="1">
        <f t="shared" si="5"/>
        <v>-0.26376145493449599</v>
      </c>
      <c r="X15" s="1">
        <f t="shared" si="6"/>
        <v>-0.13321571659290043</v>
      </c>
      <c r="Y15" s="1">
        <f t="shared" si="7"/>
        <v>9.1590545021801972E-2</v>
      </c>
      <c r="AB15" s="1" t="s">
        <v>14</v>
      </c>
      <c r="AC15" s="1" t="s">
        <v>14</v>
      </c>
      <c r="AD15" s="1"/>
      <c r="AE15" s="1"/>
      <c r="AG15" s="1" t="s">
        <v>15</v>
      </c>
      <c r="AH15" s="1" t="s">
        <v>15</v>
      </c>
      <c r="AI15" s="1"/>
    </row>
    <row r="16" spans="2:38" x14ac:dyDescent="0.45">
      <c r="B16" s="1">
        <v>34.655171420000002</v>
      </c>
      <c r="C16" s="1">
        <v>67.748485479999999</v>
      </c>
      <c r="D16" s="1">
        <v>26.907021790000002</v>
      </c>
      <c r="E16" s="1">
        <v>47.513060109999998</v>
      </c>
      <c r="F16" s="1"/>
      <c r="G16" s="1">
        <v>34.6400570206699</v>
      </c>
      <c r="H16" s="1">
        <v>67.731367731367698</v>
      </c>
      <c r="I16" s="1">
        <v>26.870990734141099</v>
      </c>
      <c r="J16" s="1">
        <v>47.174447174447103</v>
      </c>
      <c r="K16" s="1"/>
      <c r="L16" s="1">
        <v>34.835752482811301</v>
      </c>
      <c r="M16" s="1">
        <v>67.598253275109101</v>
      </c>
      <c r="N16">
        <v>27.1199388846447</v>
      </c>
      <c r="O16">
        <v>47.336244541484703</v>
      </c>
      <c r="Q16" s="1">
        <f t="shared" si="0"/>
        <v>-1.5114399330101946E-2</v>
      </c>
      <c r="R16" s="1">
        <f t="shared" si="1"/>
        <v>-1.7117748632301755E-2</v>
      </c>
      <c r="S16" s="1">
        <f t="shared" si="2"/>
        <v>-3.6031055858902761E-2</v>
      </c>
      <c r="T16" s="1">
        <f t="shared" si="3"/>
        <v>-0.33861293555289507</v>
      </c>
      <c r="U16" s="1"/>
      <c r="V16" s="1">
        <f t="shared" si="4"/>
        <v>0.18058106281129938</v>
      </c>
      <c r="W16" s="1">
        <f t="shared" si="5"/>
        <v>-0.15023220489089795</v>
      </c>
      <c r="X16" s="1">
        <f t="shared" si="6"/>
        <v>0.21291709464469832</v>
      </c>
      <c r="Y16" s="1">
        <f t="shared" si="7"/>
        <v>-0.17681556851529479</v>
      </c>
      <c r="AB16" s="1" t="s">
        <v>5</v>
      </c>
      <c r="AC16" s="1" t="s">
        <v>6</v>
      </c>
      <c r="AD16" s="1"/>
      <c r="AE16" s="1"/>
      <c r="AG16" s="1" t="s">
        <v>5</v>
      </c>
      <c r="AH16" s="1" t="s">
        <v>6</v>
      </c>
      <c r="AI16" s="1"/>
    </row>
    <row r="17" spans="2:35" x14ac:dyDescent="0.45">
      <c r="B17" s="1">
        <v>35.427304530000001</v>
      </c>
      <c r="C17" s="1">
        <v>9.5039365700000005</v>
      </c>
      <c r="D17" s="1">
        <v>29.244775270000002</v>
      </c>
      <c r="E17" s="1">
        <v>6.4607758000000004</v>
      </c>
      <c r="F17" s="1"/>
      <c r="G17" s="1">
        <v>35.424091233071998</v>
      </c>
      <c r="H17" s="1">
        <v>9.4185094185094105</v>
      </c>
      <c r="I17" s="1">
        <v>29.151817533856001</v>
      </c>
      <c r="J17" s="1">
        <v>6.14250614250615</v>
      </c>
      <c r="K17" s="1"/>
      <c r="L17" s="1">
        <v>35.294117647058798</v>
      </c>
      <c r="M17" s="1">
        <v>9.6069868995633101</v>
      </c>
      <c r="N17">
        <v>29.258976317799799</v>
      </c>
      <c r="O17">
        <v>5.8515283842794696</v>
      </c>
      <c r="Q17" s="1">
        <f t="shared" si="0"/>
        <v>-3.2132969280027623E-3</v>
      </c>
      <c r="R17" s="1">
        <f t="shared" si="1"/>
        <v>-8.5427151490589992E-2</v>
      </c>
      <c r="S17" s="1">
        <f t="shared" si="2"/>
        <v>-9.2957736144001046E-2</v>
      </c>
      <c r="T17" s="1">
        <f t="shared" si="3"/>
        <v>-0.31826965749385039</v>
      </c>
      <c r="U17" s="1"/>
      <c r="V17" s="1">
        <f t="shared" si="4"/>
        <v>-0.13318688294120307</v>
      </c>
      <c r="W17" s="1">
        <f t="shared" si="5"/>
        <v>0.10305032956330962</v>
      </c>
      <c r="X17" s="1">
        <f t="shared" si="6"/>
        <v>1.4201047799797806E-2</v>
      </c>
      <c r="Y17" s="1">
        <f t="shared" si="7"/>
        <v>-0.60924741572053076</v>
      </c>
      <c r="AB17" s="1">
        <f>AVERAGE(Q7:Q36,S7:S36)</f>
        <v>-5.018754310660712E-2</v>
      </c>
      <c r="AC17" s="1">
        <f>AVERAGE(R7:R36,T7:T36)</f>
        <v>-0.17735229214050408</v>
      </c>
      <c r="AD17" s="1"/>
      <c r="AE17" s="1"/>
      <c r="AG17" s="1">
        <f>AVERAGE(U7:U36,W7:W36)</f>
        <v>3.2619993407530253E-2</v>
      </c>
      <c r="AH17" s="1">
        <f>AVERAGE(V7:V36,X7:X36)</f>
        <v>-7.5297438033271977E-2</v>
      </c>
      <c r="AI17" s="1">
        <f>AVERAGE(U7:X36)</f>
        <v>-3.9324960886337891E-2</v>
      </c>
    </row>
    <row r="18" spans="2:35" x14ac:dyDescent="0.45">
      <c r="B18" s="1">
        <v>39.17994487</v>
      </c>
      <c r="C18" s="1">
        <v>15.30337383</v>
      </c>
      <c r="D18" s="1">
        <v>32.062373020000003</v>
      </c>
      <c r="E18" s="1">
        <v>9.1444861300000007</v>
      </c>
      <c r="F18" s="1"/>
      <c r="G18" s="1">
        <v>39.130434782608603</v>
      </c>
      <c r="H18" s="1">
        <v>15.3153153153152</v>
      </c>
      <c r="I18" s="1">
        <v>32.074126870990703</v>
      </c>
      <c r="J18" s="1">
        <v>8.9271089271089092</v>
      </c>
      <c r="K18" s="1"/>
      <c r="L18" s="1">
        <v>39.1902215431627</v>
      </c>
      <c r="M18" s="1">
        <v>15.3711790393012</v>
      </c>
      <c r="N18">
        <v>32.085561497326204</v>
      </c>
      <c r="O18">
        <v>9.0829694323144103</v>
      </c>
      <c r="Q18" s="1">
        <f t="shared" si="0"/>
        <v>-4.9510087391396951E-2</v>
      </c>
      <c r="R18" s="1">
        <f t="shared" si="1"/>
        <v>1.1941485315199785E-2</v>
      </c>
      <c r="S18" s="1">
        <f t="shared" si="2"/>
        <v>1.1753850990700698E-2</v>
      </c>
      <c r="T18" s="1">
        <f t="shared" si="3"/>
        <v>-0.21737720289109141</v>
      </c>
      <c r="U18" s="1"/>
      <c r="V18" s="1">
        <f t="shared" si="4"/>
        <v>1.0276673162699979E-2</v>
      </c>
      <c r="W18" s="1">
        <f t="shared" si="5"/>
        <v>6.7805209301200264E-2</v>
      </c>
      <c r="X18" s="1">
        <f t="shared" si="6"/>
        <v>2.3188477326200996E-2</v>
      </c>
      <c r="Y18" s="1">
        <f t="shared" si="7"/>
        <v>-6.1516697685590316E-2</v>
      </c>
      <c r="AB18" s="1">
        <f>_xlfn.STDEV.S(Q7:Q36,S7:S36)</f>
        <v>5.1056568187598315E-2</v>
      </c>
      <c r="AC18" s="1">
        <f>_xlfn.STDEV.S(R7:R36,T7:T36)</f>
        <v>0.13784001861428363</v>
      </c>
      <c r="AD18" s="1"/>
      <c r="AE18" s="1"/>
      <c r="AG18" s="1">
        <f>_xlfn.STDEV.S(U7:U36,W7:W36)</f>
        <v>0.28732855503796717</v>
      </c>
      <c r="AH18" s="1">
        <f>_xlfn.STDEV.S(V7:V36,X7:X36)</f>
        <v>0.18989837438957388</v>
      </c>
      <c r="AI18" s="1">
        <f>_xlfn.STDEV.S(U7:X36)</f>
        <v>0.2311359068316696</v>
      </c>
    </row>
    <row r="19" spans="2:35" x14ac:dyDescent="0.45">
      <c r="B19" s="1">
        <v>45.118863169999997</v>
      </c>
      <c r="C19" s="1">
        <v>67.322203270000003</v>
      </c>
      <c r="D19" s="1">
        <v>35.922866290000002</v>
      </c>
      <c r="E19" s="1">
        <v>50.050536119999997</v>
      </c>
      <c r="F19" s="1"/>
      <c r="G19" s="1">
        <v>45.046329294369201</v>
      </c>
      <c r="H19" s="1">
        <v>67.2399672399672</v>
      </c>
      <c r="I19" s="1">
        <v>35.851746258018501</v>
      </c>
      <c r="J19" s="1">
        <v>49.795249795249703</v>
      </c>
      <c r="K19" s="1"/>
      <c r="L19" s="1">
        <v>44.843391902215402</v>
      </c>
      <c r="M19" s="1">
        <v>67.598253275109101</v>
      </c>
      <c r="N19">
        <v>36.058059587471298</v>
      </c>
      <c r="O19">
        <v>50.043668122270702</v>
      </c>
      <c r="Q19" s="1">
        <f t="shared" si="0"/>
        <v>-7.2533875630796274E-2</v>
      </c>
      <c r="R19" s="1">
        <f t="shared" si="1"/>
        <v>-8.2236030032802887E-2</v>
      </c>
      <c r="S19" s="1">
        <f t="shared" si="2"/>
        <v>-7.1120031981500631E-2</v>
      </c>
      <c r="T19" s="1">
        <f t="shared" si="3"/>
        <v>-0.25528632475029411</v>
      </c>
      <c r="U19" s="1"/>
      <c r="V19" s="1">
        <f t="shared" si="4"/>
        <v>-0.27547126778459585</v>
      </c>
      <c r="W19" s="1">
        <f t="shared" si="5"/>
        <v>0.27605000510909861</v>
      </c>
      <c r="X19" s="1">
        <f t="shared" si="6"/>
        <v>0.1351932974712966</v>
      </c>
      <c r="Y19" s="1">
        <f t="shared" si="7"/>
        <v>-6.8679977292944727E-3</v>
      </c>
      <c r="AB19" s="1"/>
      <c r="AC19" s="1"/>
      <c r="AD19" s="1"/>
      <c r="AE19" s="1"/>
      <c r="AF19" s="1"/>
      <c r="AG19" s="1"/>
      <c r="AH19" s="1"/>
      <c r="AI19" s="1"/>
    </row>
    <row r="20" spans="2:35" x14ac:dyDescent="0.45">
      <c r="B20" s="1">
        <v>45.90439207</v>
      </c>
      <c r="C20" s="1">
        <v>92.084759660000003</v>
      </c>
      <c r="D20" s="1">
        <v>38.976996649999997</v>
      </c>
      <c r="E20" s="1">
        <v>86.042368030000006</v>
      </c>
      <c r="F20" s="1"/>
      <c r="G20" s="1">
        <v>45.8303635067711</v>
      </c>
      <c r="H20" s="1">
        <v>91.973791973791904</v>
      </c>
      <c r="I20" s="1">
        <v>38.916607270135401</v>
      </c>
      <c r="J20" s="1">
        <v>85.749385749385695</v>
      </c>
      <c r="K20" s="1"/>
      <c r="L20" s="1">
        <v>45.989304812834199</v>
      </c>
      <c r="M20" s="1">
        <v>91.790393013100399</v>
      </c>
      <c r="N20">
        <v>38.731856378915197</v>
      </c>
      <c r="O20">
        <v>85.676855895196496</v>
      </c>
      <c r="Q20" s="1">
        <f t="shared" si="0"/>
        <v>-7.4028563228900168E-2</v>
      </c>
      <c r="R20" s="1">
        <f t="shared" si="1"/>
        <v>-0.11096768620809883</v>
      </c>
      <c r="S20" s="1">
        <f t="shared" si="2"/>
        <v>-6.0389379864595583E-2</v>
      </c>
      <c r="T20" s="1">
        <f t="shared" si="3"/>
        <v>-0.29298228061431075</v>
      </c>
      <c r="U20" s="1"/>
      <c r="V20" s="1">
        <f t="shared" si="4"/>
        <v>8.4912742834198696E-2</v>
      </c>
      <c r="W20" s="1">
        <f t="shared" si="5"/>
        <v>-0.29436664689960423</v>
      </c>
      <c r="X20" s="1">
        <f t="shared" si="6"/>
        <v>-0.24514027108480008</v>
      </c>
      <c r="Y20" s="1">
        <f t="shared" si="7"/>
        <v>-0.36551213480350953</v>
      </c>
      <c r="AB20" s="1"/>
      <c r="AC20" s="1"/>
      <c r="AD20" s="1"/>
      <c r="AE20" s="1"/>
      <c r="AF20" s="1"/>
      <c r="AG20" s="1"/>
      <c r="AH20" s="1"/>
      <c r="AI20" s="1"/>
    </row>
    <row r="21" spans="2:35" x14ac:dyDescent="0.45">
      <c r="B21" s="1">
        <v>50.232937120000003</v>
      </c>
      <c r="C21" s="1">
        <v>8.2459504100000007</v>
      </c>
      <c r="D21" s="1">
        <v>39.14350409</v>
      </c>
      <c r="E21" s="1">
        <v>86.845329070000005</v>
      </c>
      <c r="F21" s="1"/>
      <c r="G21" s="1">
        <v>50.106913756236601</v>
      </c>
      <c r="H21" s="1">
        <v>8.1900081900081805</v>
      </c>
      <c r="I21" s="1">
        <v>39.201710620099703</v>
      </c>
      <c r="J21" s="1">
        <v>86.650286650286603</v>
      </c>
      <c r="K21" s="1"/>
      <c r="L21" s="1">
        <v>49.809014514896802</v>
      </c>
      <c r="M21" s="1">
        <v>8.2969432314410394</v>
      </c>
      <c r="N21">
        <v>39.2666157372039</v>
      </c>
      <c r="O21">
        <v>86.375545851528301</v>
      </c>
      <c r="Q21" s="1">
        <f t="shared" si="0"/>
        <v>-0.12602336376340162</v>
      </c>
      <c r="R21" s="1">
        <f t="shared" si="1"/>
        <v>-5.5942219991820252E-2</v>
      </c>
      <c r="S21" s="1">
        <f t="shared" si="2"/>
        <v>5.8206530099703002E-2</v>
      </c>
      <c r="T21" s="1">
        <f t="shared" si="3"/>
        <v>-0.19504241971340264</v>
      </c>
      <c r="U21" s="1"/>
      <c r="V21" s="1">
        <f t="shared" si="4"/>
        <v>-0.42392260510320057</v>
      </c>
      <c r="W21" s="1">
        <f t="shared" si="5"/>
        <v>5.0992821441038672E-2</v>
      </c>
      <c r="X21" s="1">
        <f t="shared" si="6"/>
        <v>0.12311164720389911</v>
      </c>
      <c r="Y21" s="1">
        <f t="shared" si="7"/>
        <v>-0.46978321847170434</v>
      </c>
      <c r="AB21" s="1"/>
      <c r="AC21" s="1"/>
      <c r="AD21" s="1"/>
      <c r="AE21" s="1"/>
      <c r="AF21" s="1"/>
      <c r="AG21" s="1"/>
      <c r="AH21" s="1"/>
      <c r="AI21" s="1"/>
    </row>
    <row r="22" spans="2:35" x14ac:dyDescent="0.45">
      <c r="B22" s="1">
        <v>52.973726739999996</v>
      </c>
      <c r="C22" s="1">
        <v>50.163104519999997</v>
      </c>
      <c r="D22" s="1">
        <v>44.447013490000003</v>
      </c>
      <c r="E22" s="1">
        <v>95.993755579999998</v>
      </c>
      <c r="F22" s="1"/>
      <c r="G22" s="1">
        <v>52.886671418389099</v>
      </c>
      <c r="H22" s="1">
        <v>50.204750204750198</v>
      </c>
      <c r="I22" s="1">
        <v>44.404846756949397</v>
      </c>
      <c r="J22" s="1">
        <v>95.659295659295594</v>
      </c>
      <c r="K22" s="1"/>
      <c r="L22" s="1">
        <v>52.711993888464399</v>
      </c>
      <c r="M22" s="1">
        <v>50.567685589519598</v>
      </c>
      <c r="N22">
        <v>44.232238349885399</v>
      </c>
      <c r="O22">
        <v>95.283842794759806</v>
      </c>
      <c r="Q22" s="1">
        <f t="shared" si="0"/>
        <v>-8.7055321610897352E-2</v>
      </c>
      <c r="R22" s="1">
        <f t="shared" si="1"/>
        <v>4.1645684750200473E-2</v>
      </c>
      <c r="S22" s="1">
        <f t="shared" si="2"/>
        <v>-4.2166733050606808E-2</v>
      </c>
      <c r="T22" s="1">
        <f t="shared" si="3"/>
        <v>-0.33445992070440411</v>
      </c>
      <c r="U22" s="1"/>
      <c r="V22" s="1">
        <f t="shared" si="4"/>
        <v>-0.26173285153559789</v>
      </c>
      <c r="W22" s="1">
        <f t="shared" si="5"/>
        <v>0.40458106951960104</v>
      </c>
      <c r="X22" s="1">
        <f t="shared" si="6"/>
        <v>-0.21477514011460386</v>
      </c>
      <c r="Y22" s="1">
        <f t="shared" si="7"/>
        <v>-0.70991278524019208</v>
      </c>
      <c r="AB22" s="1"/>
      <c r="AC22" s="1"/>
      <c r="AD22" s="1"/>
      <c r="AE22" s="1"/>
      <c r="AF22" s="1"/>
      <c r="AG22" s="1"/>
      <c r="AH22" s="1"/>
      <c r="AI22" s="1"/>
    </row>
    <row r="23" spans="2:35" x14ac:dyDescent="0.45">
      <c r="B23" s="1">
        <v>58.012670819999997</v>
      </c>
      <c r="C23" s="1">
        <v>7.7728632400000004</v>
      </c>
      <c r="D23" s="1">
        <v>51.38416505</v>
      </c>
      <c r="E23" s="1">
        <v>90.325306490000003</v>
      </c>
      <c r="F23" s="1"/>
      <c r="G23" s="1">
        <v>58.018531717747599</v>
      </c>
      <c r="H23" s="1">
        <v>7.7805077805077696</v>
      </c>
      <c r="I23" s="1">
        <v>51.318602993585102</v>
      </c>
      <c r="J23" s="1">
        <v>90.008190008189999</v>
      </c>
      <c r="K23" s="1"/>
      <c r="L23" s="1">
        <v>57.601222307104599</v>
      </c>
      <c r="M23" s="1">
        <v>8.2969432314410394</v>
      </c>
      <c r="N23">
        <v>51.566080977845601</v>
      </c>
      <c r="O23">
        <v>89.432314410480302</v>
      </c>
      <c r="Q23" s="1">
        <f t="shared" si="0"/>
        <v>5.860897747602678E-3</v>
      </c>
      <c r="R23" s="1">
        <f t="shared" si="1"/>
        <v>7.644540507769193E-3</v>
      </c>
      <c r="S23" s="1">
        <f t="shared" si="2"/>
        <v>-6.556205641489754E-2</v>
      </c>
      <c r="T23" s="1">
        <f t="shared" si="3"/>
        <v>-0.31711648181000385</v>
      </c>
      <c r="U23" s="1"/>
      <c r="V23" s="1">
        <f t="shared" si="4"/>
        <v>-0.4114485128953973</v>
      </c>
      <c r="W23" s="1">
        <f t="shared" si="5"/>
        <v>0.52407999144103901</v>
      </c>
      <c r="X23" s="1">
        <f t="shared" si="6"/>
        <v>0.18191592784560129</v>
      </c>
      <c r="Y23" s="1">
        <f t="shared" si="7"/>
        <v>-0.89299207951970061</v>
      </c>
      <c r="AB23" s="1"/>
      <c r="AC23" s="1"/>
      <c r="AD23" s="1"/>
      <c r="AE23" s="1"/>
      <c r="AF23" s="1"/>
      <c r="AG23" s="1"/>
      <c r="AH23" s="1"/>
      <c r="AI23" s="1"/>
    </row>
    <row r="24" spans="2:35" x14ac:dyDescent="0.45">
      <c r="B24" s="1">
        <v>62.685176329999997</v>
      </c>
      <c r="C24" s="1">
        <v>40.44524105</v>
      </c>
      <c r="D24" s="1">
        <v>60.009982839999999</v>
      </c>
      <c r="E24" s="1">
        <v>5.7628103299999998</v>
      </c>
      <c r="F24" s="1"/>
      <c r="G24" s="1">
        <v>62.651461154668503</v>
      </c>
      <c r="H24" s="1">
        <v>40.294840294840199</v>
      </c>
      <c r="I24" s="1">
        <v>60.014255167498199</v>
      </c>
      <c r="J24" s="1">
        <v>5.4873054873054903</v>
      </c>
      <c r="K24" s="1"/>
      <c r="L24" s="1">
        <v>62.719633307868598</v>
      </c>
      <c r="M24" s="1">
        <v>40.786026200873302</v>
      </c>
      <c r="N24">
        <v>59.893048128342201</v>
      </c>
      <c r="O24">
        <v>5.5895196506550198</v>
      </c>
      <c r="Q24" s="1">
        <f t="shared" si="0"/>
        <v>-3.3715175331494152E-2</v>
      </c>
      <c r="R24" s="1">
        <f t="shared" si="1"/>
        <v>-0.15040075515980078</v>
      </c>
      <c r="S24" s="1">
        <f t="shared" si="2"/>
        <v>4.2723274981995019E-3</v>
      </c>
      <c r="T24" s="1">
        <f t="shared" si="3"/>
        <v>-0.27550484269450948</v>
      </c>
      <c r="U24" s="1"/>
      <c r="V24" s="1">
        <f t="shared" si="4"/>
        <v>3.4456977868600802E-2</v>
      </c>
      <c r="W24" s="1">
        <f t="shared" si="5"/>
        <v>0.34078515087330175</v>
      </c>
      <c r="X24" s="1">
        <f t="shared" si="6"/>
        <v>-0.11693471165779812</v>
      </c>
      <c r="Y24" s="1">
        <f t="shared" si="7"/>
        <v>-0.17329067934497999</v>
      </c>
      <c r="AB24" s="1"/>
      <c r="AC24" s="1"/>
      <c r="AD24" s="1"/>
      <c r="AE24" s="1"/>
      <c r="AF24" s="1"/>
      <c r="AG24" s="1"/>
      <c r="AH24" s="1"/>
      <c r="AI24" s="1"/>
    </row>
    <row r="25" spans="2:35" x14ac:dyDescent="0.45">
      <c r="B25" s="1">
        <v>63.242376</v>
      </c>
      <c r="C25" s="1">
        <v>9.9903950600000009</v>
      </c>
      <c r="D25" s="1">
        <v>62.578584730000003</v>
      </c>
      <c r="E25" s="1">
        <v>94.226337439999995</v>
      </c>
      <c r="F25" s="1"/>
      <c r="G25" s="1">
        <v>63.2216678545973</v>
      </c>
      <c r="H25" s="1">
        <v>9.9099099099098797</v>
      </c>
      <c r="I25" s="1">
        <v>62.508909479686302</v>
      </c>
      <c r="J25" s="1">
        <v>93.857493857493793</v>
      </c>
      <c r="K25" s="1"/>
      <c r="L25" s="1">
        <v>63.177998472116101</v>
      </c>
      <c r="M25" s="1">
        <v>10.2183406113536</v>
      </c>
      <c r="N25">
        <v>62.719633307868598</v>
      </c>
      <c r="O25">
        <v>93.886462882095998</v>
      </c>
      <c r="Q25" s="1">
        <f t="shared" si="0"/>
        <v>-2.0708145402700495E-2</v>
      </c>
      <c r="R25" s="1">
        <f t="shared" si="1"/>
        <v>-8.0485150090121138E-2</v>
      </c>
      <c r="S25" s="1">
        <f t="shared" si="2"/>
        <v>-6.9675250313700587E-2</v>
      </c>
      <c r="T25" s="1">
        <f t="shared" si="3"/>
        <v>-0.36884358250620153</v>
      </c>
      <c r="U25" s="1"/>
      <c r="V25" s="1">
        <f t="shared" si="4"/>
        <v>-6.4377527883898722E-2</v>
      </c>
      <c r="W25" s="1">
        <f t="shared" si="5"/>
        <v>0.22794555135359928</v>
      </c>
      <c r="X25" s="1">
        <f t="shared" si="6"/>
        <v>0.14104857786859526</v>
      </c>
      <c r="Y25" s="1">
        <f t="shared" si="7"/>
        <v>-0.33987455790399679</v>
      </c>
      <c r="AB25" s="1"/>
      <c r="AC25" s="1"/>
      <c r="AD25" s="1"/>
      <c r="AE25" s="1"/>
      <c r="AF25" s="1"/>
      <c r="AG25" s="1"/>
      <c r="AH25" s="1"/>
      <c r="AI25" s="1"/>
    </row>
    <row r="26" spans="2:35" x14ac:dyDescent="0.45">
      <c r="B26" s="1">
        <v>68.567099420000005</v>
      </c>
      <c r="C26" s="1">
        <v>86.439467100000002</v>
      </c>
      <c r="D26" s="1">
        <v>64.363807420000001</v>
      </c>
      <c r="E26" s="1">
        <v>36.969616909999999</v>
      </c>
      <c r="F26" s="1"/>
      <c r="G26" s="1">
        <v>68.567355666428995</v>
      </c>
      <c r="H26" s="1">
        <v>86.404586404586396</v>
      </c>
      <c r="I26" s="1">
        <v>64.290805416963593</v>
      </c>
      <c r="J26" s="1">
        <v>36.691236691236597</v>
      </c>
      <c r="K26" s="1"/>
      <c r="L26" s="1">
        <v>68.220015278838801</v>
      </c>
      <c r="M26" s="1">
        <v>86.026200873362399</v>
      </c>
      <c r="N26">
        <v>64.400305576776105</v>
      </c>
      <c r="O26">
        <v>36.593886462881997</v>
      </c>
      <c r="Q26" s="1">
        <f t="shared" si="0"/>
        <v>2.5624642898947059E-4</v>
      </c>
      <c r="R26" s="1">
        <f t="shared" si="1"/>
        <v>-3.4880695413605167E-2</v>
      </c>
      <c r="S26" s="1">
        <f t="shared" si="2"/>
        <v>-7.3002003036407359E-2</v>
      </c>
      <c r="T26" s="1">
        <f t="shared" si="3"/>
        <v>-0.27838021876340235</v>
      </c>
      <c r="U26" s="1"/>
      <c r="V26" s="1">
        <f t="shared" si="4"/>
        <v>-0.34708414116120423</v>
      </c>
      <c r="W26" s="1">
        <f t="shared" si="5"/>
        <v>-0.41326622663760304</v>
      </c>
      <c r="X26" s="1">
        <f t="shared" si="6"/>
        <v>3.6498156776104906E-2</v>
      </c>
      <c r="Y26" s="1">
        <f t="shared" si="7"/>
        <v>-0.37573044711800208</v>
      </c>
      <c r="AB26" s="1"/>
      <c r="AC26" s="1"/>
      <c r="AD26" s="1"/>
      <c r="AE26" s="1"/>
      <c r="AF26" s="1"/>
      <c r="AG26" s="1"/>
      <c r="AH26" s="1"/>
      <c r="AI26" s="1"/>
    </row>
    <row r="27" spans="2:35" x14ac:dyDescent="0.45">
      <c r="B27" s="1">
        <v>70.527367060000003</v>
      </c>
      <c r="C27" s="1">
        <v>9.8973420500000007</v>
      </c>
      <c r="D27" s="1">
        <v>71.157373160000006</v>
      </c>
      <c r="E27" s="1">
        <v>41.489078620000001</v>
      </c>
      <c r="F27" s="1"/>
      <c r="G27" s="1">
        <v>70.420527441197393</v>
      </c>
      <c r="H27" s="1">
        <v>9.9099099099098797</v>
      </c>
      <c r="I27" s="1">
        <v>71.062009978617198</v>
      </c>
      <c r="J27" s="1">
        <v>41.1957411957411</v>
      </c>
      <c r="K27" s="1"/>
      <c r="L27" s="1">
        <v>70.511841100076396</v>
      </c>
      <c r="M27" s="1">
        <v>10.305676855895101</v>
      </c>
      <c r="N27">
        <v>70.970206264323906</v>
      </c>
      <c r="O27">
        <v>41.222707423580701</v>
      </c>
      <c r="Q27" s="1">
        <f t="shared" si="0"/>
        <v>-0.10683961880260995</v>
      </c>
      <c r="R27" s="1">
        <f t="shared" si="1"/>
        <v>1.2567859909879076E-2</v>
      </c>
      <c r="S27" s="1">
        <f t="shared" si="2"/>
        <v>-9.5363181382808193E-2</v>
      </c>
      <c r="T27" s="1">
        <f t="shared" si="3"/>
        <v>-0.29333742425890108</v>
      </c>
      <c r="U27" s="1"/>
      <c r="V27" s="1">
        <f t="shared" si="4"/>
        <v>-1.5525959923607502E-2</v>
      </c>
      <c r="W27" s="1">
        <f t="shared" si="5"/>
        <v>0.40833480589509996</v>
      </c>
      <c r="X27" s="1">
        <f t="shared" si="6"/>
        <v>-0.1871668956760999</v>
      </c>
      <c r="Y27" s="1">
        <f t="shared" si="7"/>
        <v>-0.26637119641929985</v>
      </c>
      <c r="AB27" s="1"/>
      <c r="AC27" s="1"/>
      <c r="AD27" s="1"/>
      <c r="AE27" s="1"/>
      <c r="AF27" s="1"/>
      <c r="AG27" s="1"/>
      <c r="AH27" s="1"/>
      <c r="AI27" s="1"/>
    </row>
    <row r="28" spans="2:35" x14ac:dyDescent="0.45">
      <c r="B28" s="1">
        <v>73.09919721</v>
      </c>
      <c r="C28" s="1">
        <v>75.544075890000002</v>
      </c>
      <c r="D28" s="1">
        <v>76.243410060000002</v>
      </c>
      <c r="E28" s="1">
        <v>14.96774946</v>
      </c>
      <c r="F28" s="1"/>
      <c r="G28" s="1">
        <v>73.057733428367698</v>
      </c>
      <c r="H28" s="1">
        <v>75.511875511875502</v>
      </c>
      <c r="I28" s="1">
        <v>76.193870277975705</v>
      </c>
      <c r="J28" s="1">
        <v>14.7420147420147</v>
      </c>
      <c r="K28" s="1"/>
      <c r="L28" s="1">
        <v>73.262032085561401</v>
      </c>
      <c r="M28" s="1">
        <v>75.109170305676798</v>
      </c>
      <c r="N28">
        <v>76.012223071046606</v>
      </c>
      <c r="O28">
        <v>15.0218340611353</v>
      </c>
      <c r="Q28" s="1">
        <f t="shared" si="0"/>
        <v>-4.1463781632302243E-2</v>
      </c>
      <c r="R28" s="1">
        <f t="shared" si="1"/>
        <v>-3.2200378124500162E-2</v>
      </c>
      <c r="S28" s="1">
        <f t="shared" si="2"/>
        <v>-4.9539782024297097E-2</v>
      </c>
      <c r="T28" s="1">
        <f t="shared" si="3"/>
        <v>-0.22573471798530065</v>
      </c>
      <c r="U28" s="1"/>
      <c r="V28" s="1">
        <f t="shared" si="4"/>
        <v>0.1628348755614013</v>
      </c>
      <c r="W28" s="1">
        <f t="shared" si="5"/>
        <v>-0.4349055843232037</v>
      </c>
      <c r="X28" s="1">
        <f t="shared" si="6"/>
        <v>-0.23118698895339662</v>
      </c>
      <c r="Y28" s="1">
        <f t="shared" si="7"/>
        <v>5.4084601135299337E-2</v>
      </c>
      <c r="AB28" s="1"/>
      <c r="AC28" s="1"/>
      <c r="AD28" s="1"/>
      <c r="AE28" s="1"/>
      <c r="AF28" s="1"/>
      <c r="AG28" s="1"/>
      <c r="AH28" s="1"/>
      <c r="AI28" s="1"/>
    </row>
    <row r="29" spans="2:35" x14ac:dyDescent="0.45">
      <c r="B29" s="1">
        <v>74.649008069999994</v>
      </c>
      <c r="C29" s="1">
        <v>45.648163019999998</v>
      </c>
      <c r="D29" s="1">
        <v>80.086028819999996</v>
      </c>
      <c r="E29" s="1">
        <v>80.646634509999998</v>
      </c>
      <c r="F29" s="1"/>
      <c r="G29" s="1">
        <v>74.554526015680594</v>
      </c>
      <c r="H29" s="1">
        <v>45.536445536445498</v>
      </c>
      <c r="I29" s="1">
        <v>80.042765502494603</v>
      </c>
      <c r="J29" s="1">
        <v>80.343980343980306</v>
      </c>
      <c r="K29" s="1"/>
      <c r="L29" s="1">
        <v>74.407944996180206</v>
      </c>
      <c r="M29" s="1">
        <v>46.026200873362399</v>
      </c>
      <c r="N29">
        <v>79.9847211611917</v>
      </c>
      <c r="O29">
        <v>79.912663755458496</v>
      </c>
      <c r="Q29" s="1">
        <f t="shared" si="0"/>
        <v>-9.4482054319399822E-2</v>
      </c>
      <c r="R29" s="1">
        <f t="shared" si="1"/>
        <v>-0.11171748355450006</v>
      </c>
      <c r="S29" s="1">
        <f t="shared" si="2"/>
        <v>-4.3263317505392251E-2</v>
      </c>
      <c r="T29" s="1">
        <f t="shared" si="3"/>
        <v>-0.30265416601969264</v>
      </c>
      <c r="U29" s="1"/>
      <c r="V29" s="1">
        <f t="shared" si="4"/>
        <v>-0.24106307381978809</v>
      </c>
      <c r="W29" s="1">
        <f t="shared" si="5"/>
        <v>0.37803785336240026</v>
      </c>
      <c r="X29" s="1">
        <f t="shared" si="6"/>
        <v>-0.10130765880829529</v>
      </c>
      <c r="Y29" s="1">
        <f t="shared" si="7"/>
        <v>-0.7339707545415024</v>
      </c>
      <c r="AB29" s="1"/>
      <c r="AC29" s="1"/>
      <c r="AD29" s="1"/>
      <c r="AE29" s="1"/>
      <c r="AF29" s="1"/>
      <c r="AG29" s="1"/>
      <c r="AH29" s="1"/>
      <c r="AI29" s="1"/>
    </row>
    <row r="30" spans="2:35" x14ac:dyDescent="0.45">
      <c r="B30" s="1">
        <v>75.305004940000003</v>
      </c>
      <c r="C30" s="1">
        <v>18.812156009999999</v>
      </c>
      <c r="D30" s="1">
        <v>86.466004900000001</v>
      </c>
      <c r="E30" s="1">
        <v>46.135918760000003</v>
      </c>
      <c r="F30" s="1"/>
      <c r="G30" s="1">
        <v>75.196008553100398</v>
      </c>
      <c r="H30" s="1">
        <v>18.8370188370188</v>
      </c>
      <c r="I30" s="1">
        <v>86.457590876692805</v>
      </c>
      <c r="J30" s="1">
        <v>45.782145782145697</v>
      </c>
      <c r="K30" s="1"/>
      <c r="L30" s="1">
        <v>75.553857906799095</v>
      </c>
      <c r="M30" s="1">
        <v>19.301310043668099</v>
      </c>
      <c r="N30">
        <v>86.631016042780701</v>
      </c>
      <c r="O30">
        <v>45.414847161571998</v>
      </c>
      <c r="Q30" s="1">
        <f t="shared" si="0"/>
        <v>-0.10899638689960511</v>
      </c>
      <c r="R30" s="1">
        <f t="shared" si="1"/>
        <v>2.4862827018800715E-2</v>
      </c>
      <c r="S30" s="1">
        <f t="shared" si="2"/>
        <v>-8.4140233071963166E-3</v>
      </c>
      <c r="T30" s="1">
        <f t="shared" si="3"/>
        <v>-0.35377297785430528</v>
      </c>
      <c r="U30" s="1"/>
      <c r="V30" s="1">
        <f t="shared" si="4"/>
        <v>0.24885296679909175</v>
      </c>
      <c r="W30" s="1">
        <f t="shared" si="5"/>
        <v>0.4891540336681004</v>
      </c>
      <c r="X30" s="1">
        <f t="shared" si="6"/>
        <v>0.16501114278069906</v>
      </c>
      <c r="Y30" s="1">
        <f t="shared" si="7"/>
        <v>-0.72107159842800428</v>
      </c>
      <c r="AB30" s="1"/>
      <c r="AC30" s="1"/>
      <c r="AD30" s="1"/>
      <c r="AE30" s="1"/>
      <c r="AF30" s="1"/>
      <c r="AG30" s="1"/>
      <c r="AH30" s="1"/>
      <c r="AI30" s="1"/>
    </row>
    <row r="31" spans="2:35" x14ac:dyDescent="0.45">
      <c r="B31" s="1">
        <v>83.516144100000005</v>
      </c>
      <c r="C31" s="1">
        <v>14.76994122</v>
      </c>
      <c r="D31" s="1">
        <v>87.039755880000001</v>
      </c>
      <c r="E31" s="1">
        <v>84.39159085</v>
      </c>
      <c r="F31" s="1"/>
      <c r="G31" s="1">
        <v>83.535281539558</v>
      </c>
      <c r="H31" s="1">
        <v>14.7420147420147</v>
      </c>
      <c r="I31" s="1">
        <v>87.027797576621495</v>
      </c>
      <c r="J31" s="1">
        <v>84.029484029483996</v>
      </c>
      <c r="K31" s="1"/>
      <c r="L31" s="1">
        <v>83.269671504965601</v>
      </c>
      <c r="M31" s="1">
        <v>14.759825327510899</v>
      </c>
      <c r="N31">
        <v>87.165775401069496</v>
      </c>
      <c r="O31">
        <v>83.755458515283806</v>
      </c>
      <c r="Q31" s="1">
        <f t="shared" si="0"/>
        <v>1.9137439557994185E-2</v>
      </c>
      <c r="R31" s="1">
        <f t="shared" si="1"/>
        <v>-2.7926477985300124E-2</v>
      </c>
      <c r="S31" s="1">
        <f t="shared" si="2"/>
        <v>-1.195830337850623E-2</v>
      </c>
      <c r="T31" s="1">
        <f t="shared" si="3"/>
        <v>-0.36210682051600429</v>
      </c>
      <c r="U31" s="1"/>
      <c r="V31" s="1">
        <f t="shared" si="4"/>
        <v>-0.24647259503440466</v>
      </c>
      <c r="W31" s="1">
        <f t="shared" si="5"/>
        <v>-1.0115892489100275E-2</v>
      </c>
      <c r="X31" s="1">
        <f t="shared" si="6"/>
        <v>0.12601952106949454</v>
      </c>
      <c r="Y31" s="1">
        <f t="shared" si="7"/>
        <v>-0.63613233471619424</v>
      </c>
      <c r="AB31" s="1"/>
      <c r="AC31" s="1"/>
      <c r="AD31" s="1"/>
      <c r="AE31" s="1"/>
      <c r="AF31" s="1"/>
      <c r="AG31" s="1"/>
      <c r="AH31" s="1"/>
      <c r="AI31" s="1"/>
    </row>
    <row r="32" spans="2:35" x14ac:dyDescent="0.45">
      <c r="B32" s="1">
        <v>84.433256999999998</v>
      </c>
      <c r="C32" s="1">
        <v>65.362389870000001</v>
      </c>
      <c r="D32" s="1">
        <v>88.552876400000002</v>
      </c>
      <c r="E32" s="1">
        <v>65.141990329999999</v>
      </c>
      <c r="F32" s="1"/>
      <c r="G32" s="1">
        <v>84.319315751960005</v>
      </c>
      <c r="H32" s="1">
        <v>65.356265356265297</v>
      </c>
      <c r="I32" s="1">
        <v>88.453314326443305</v>
      </c>
      <c r="J32" s="1">
        <v>64.864864864864799</v>
      </c>
      <c r="K32" s="1"/>
      <c r="L32" s="1">
        <v>84.491978609625605</v>
      </c>
      <c r="M32" s="1">
        <v>65.065502183406096</v>
      </c>
      <c r="N32">
        <v>88.3116883116883</v>
      </c>
      <c r="O32">
        <v>64.628820960698604</v>
      </c>
      <c r="Q32" s="1">
        <f t="shared" si="0"/>
        <v>-0.11394124803999262</v>
      </c>
      <c r="R32" s="1">
        <f t="shared" si="1"/>
        <v>-6.124513734704351E-3</v>
      </c>
      <c r="S32" s="1">
        <f t="shared" si="2"/>
        <v>-9.9562073556697328E-2</v>
      </c>
      <c r="T32" s="1">
        <f t="shared" si="3"/>
        <v>-0.27712546513519953</v>
      </c>
      <c r="U32" s="1"/>
      <c r="V32" s="1">
        <f t="shared" si="4"/>
        <v>5.872160962560713E-2</v>
      </c>
      <c r="W32" s="1">
        <f t="shared" si="5"/>
        <v>-0.29688768659390519</v>
      </c>
      <c r="X32" s="1">
        <f t="shared" si="6"/>
        <v>-0.24118808831170213</v>
      </c>
      <c r="Y32" s="1">
        <f t="shared" si="7"/>
        <v>-0.51316936930139434</v>
      </c>
      <c r="AB32" s="1"/>
      <c r="AC32" s="1"/>
      <c r="AD32" s="1"/>
      <c r="AE32" s="1"/>
      <c r="AF32" s="1"/>
      <c r="AG32" s="1"/>
      <c r="AH32" s="1"/>
      <c r="AI32" s="1"/>
    </row>
    <row r="33" spans="2:35" x14ac:dyDescent="0.45">
      <c r="B33" s="1">
        <v>92.083094310000007</v>
      </c>
      <c r="C33" s="1">
        <v>20.318370720000001</v>
      </c>
      <c r="D33" s="1">
        <v>90.065061180000001</v>
      </c>
      <c r="E33" s="1">
        <v>42.001526210000002</v>
      </c>
      <c r="F33" s="1"/>
      <c r="G33" s="1">
        <v>92.088382038488902</v>
      </c>
      <c r="H33" s="1">
        <v>20.229320229320201</v>
      </c>
      <c r="I33" s="1">
        <v>90.092658588738402</v>
      </c>
      <c r="J33" s="1">
        <v>41.769041769041699</v>
      </c>
      <c r="K33" s="1"/>
      <c r="L33" s="1">
        <v>92.360580595874694</v>
      </c>
      <c r="M33" s="1">
        <v>20.5240174672489</v>
      </c>
      <c r="N33">
        <v>90.0687547746371</v>
      </c>
      <c r="O33">
        <v>41.746724890829597</v>
      </c>
      <c r="Q33" s="1">
        <f t="shared" si="0"/>
        <v>5.2877284888950271E-3</v>
      </c>
      <c r="R33" s="1">
        <f t="shared" si="1"/>
        <v>-8.905049067979931E-2</v>
      </c>
      <c r="S33" s="1">
        <f t="shared" si="2"/>
        <v>2.7597408738401441E-2</v>
      </c>
      <c r="T33" s="1">
        <f t="shared" si="3"/>
        <v>-0.23248444095830223</v>
      </c>
      <c r="U33" s="1"/>
      <c r="V33" s="1">
        <f t="shared" si="4"/>
        <v>0.27748628587468716</v>
      </c>
      <c r="W33" s="1">
        <f t="shared" si="5"/>
        <v>0.20564674724889898</v>
      </c>
      <c r="X33" s="1">
        <f t="shared" si="6"/>
        <v>3.6935946370988404E-3</v>
      </c>
      <c r="Y33" s="1">
        <f t="shared" si="7"/>
        <v>-0.25480131917040438</v>
      </c>
      <c r="AB33" s="1"/>
      <c r="AC33" s="1"/>
      <c r="AD33" s="1"/>
      <c r="AE33" s="1"/>
      <c r="AF33" s="1"/>
      <c r="AG33" s="1"/>
      <c r="AH33" s="1"/>
      <c r="AI33" s="1"/>
    </row>
    <row r="34" spans="2:35" x14ac:dyDescent="0.45">
      <c r="B34" s="1">
        <v>94.165881420000005</v>
      </c>
      <c r="C34" s="1">
        <v>73.434012629999998</v>
      </c>
      <c r="D34" s="1">
        <v>92.379606499999994</v>
      </c>
      <c r="E34" s="1">
        <v>49.231494779999998</v>
      </c>
      <c r="F34" s="1"/>
      <c r="G34" s="1">
        <v>94.084105488239402</v>
      </c>
      <c r="H34" s="1">
        <v>73.382473382473293</v>
      </c>
      <c r="I34" s="1">
        <v>92.373485388453304</v>
      </c>
      <c r="J34" s="1">
        <v>48.976248976248897</v>
      </c>
      <c r="K34" s="1"/>
      <c r="L34" s="1">
        <v>93.888464476699696</v>
      </c>
      <c r="M34" s="1">
        <v>73.275109170305598</v>
      </c>
      <c r="N34">
        <v>92.131398013750896</v>
      </c>
      <c r="O34">
        <v>48.733624454148398</v>
      </c>
      <c r="Q34" s="1">
        <f t="shared" si="0"/>
        <v>-8.1775931760603271E-2</v>
      </c>
      <c r="R34" s="1">
        <f t="shared" si="1"/>
        <v>-5.1539247526704912E-2</v>
      </c>
      <c r="S34" s="1">
        <f t="shared" si="2"/>
        <v>-6.1211115466903721E-3</v>
      </c>
      <c r="T34" s="1">
        <f t="shared" si="3"/>
        <v>-0.25524580375110162</v>
      </c>
      <c r="U34" s="1"/>
      <c r="V34" s="1">
        <f t="shared" si="4"/>
        <v>-0.27741694330030953</v>
      </c>
      <c r="W34" s="1">
        <f t="shared" si="5"/>
        <v>-0.15890345969440034</v>
      </c>
      <c r="X34" s="1">
        <f t="shared" si="6"/>
        <v>-0.24820848624909786</v>
      </c>
      <c r="Y34" s="1">
        <f t="shared" si="7"/>
        <v>-0.49787032585160063</v>
      </c>
      <c r="AB34" s="1"/>
      <c r="AC34" s="1"/>
      <c r="AD34" s="1"/>
      <c r="AE34" s="1"/>
      <c r="AF34" s="1"/>
      <c r="AG34" s="1"/>
      <c r="AH34" s="1"/>
      <c r="AI34" s="1"/>
    </row>
    <row r="35" spans="2:35" x14ac:dyDescent="0.45">
      <c r="B35" s="1">
        <v>97.159661510000007</v>
      </c>
      <c r="C35" s="1">
        <v>77.470230670000007</v>
      </c>
      <c r="D35" s="1">
        <v>92.488305139999994</v>
      </c>
      <c r="E35" s="1">
        <v>82.208195919999994</v>
      </c>
      <c r="F35" s="1"/>
      <c r="G35" s="1">
        <v>97.148966500356295</v>
      </c>
      <c r="H35" s="1">
        <v>77.313677313677303</v>
      </c>
      <c r="I35" s="1">
        <v>92.516037063435405</v>
      </c>
      <c r="J35" s="1">
        <v>81.900081900081901</v>
      </c>
      <c r="K35" s="1"/>
      <c r="L35" s="1">
        <v>97.173414820473596</v>
      </c>
      <c r="M35" s="1">
        <v>77.117903930131007</v>
      </c>
      <c r="N35">
        <v>92.207792207792096</v>
      </c>
      <c r="O35">
        <v>81.921397379912605</v>
      </c>
      <c r="Q35" s="1">
        <f t="shared" si="0"/>
        <v>-1.0695009643711728E-2</v>
      </c>
      <c r="R35" s="1">
        <f t="shared" si="1"/>
        <v>-0.15655335632270351</v>
      </c>
      <c r="S35" s="1">
        <f t="shared" si="2"/>
        <v>2.7731923435410977E-2</v>
      </c>
      <c r="T35" s="1">
        <f t="shared" si="3"/>
        <v>-0.30811401991809362</v>
      </c>
      <c r="U35" s="1"/>
      <c r="V35" s="1">
        <f t="shared" si="4"/>
        <v>1.3753310473589409E-2</v>
      </c>
      <c r="W35" s="1">
        <f t="shared" si="5"/>
        <v>-0.35232673986899954</v>
      </c>
      <c r="X35" s="1">
        <f t="shared" si="6"/>
        <v>-0.2805129322078983</v>
      </c>
      <c r="Y35" s="1">
        <f t="shared" si="7"/>
        <v>-0.28679854008738914</v>
      </c>
      <c r="AB35" s="1"/>
      <c r="AC35" s="1"/>
      <c r="AD35" s="1"/>
      <c r="AE35" s="1"/>
      <c r="AF35" s="1"/>
      <c r="AG35" s="1"/>
      <c r="AH35" s="1"/>
      <c r="AI35" s="1"/>
    </row>
    <row r="36" spans="2:35" x14ac:dyDescent="0.45">
      <c r="B36" s="1">
        <v>99.480866559999996</v>
      </c>
      <c r="C36" s="1">
        <v>32.573496310000003</v>
      </c>
      <c r="D36" s="1">
        <v>99.320035300000001</v>
      </c>
      <c r="E36" s="1">
        <v>22.270388629999999</v>
      </c>
      <c r="F36" s="1"/>
      <c r="G36" s="1">
        <v>99.429793300071196</v>
      </c>
      <c r="H36" s="1">
        <v>32.514332514332501</v>
      </c>
      <c r="I36" s="1">
        <v>99.358517462580096</v>
      </c>
      <c r="J36" s="1">
        <v>21.949221949221901</v>
      </c>
      <c r="K36" s="1"/>
      <c r="L36" s="1">
        <v>99.541634835752404</v>
      </c>
      <c r="M36" s="1">
        <v>32.489082969432303</v>
      </c>
      <c r="N36">
        <v>99.465240641711205</v>
      </c>
      <c r="O36">
        <v>22.008733624454099</v>
      </c>
      <c r="Q36" s="1">
        <f t="shared" si="0"/>
        <v>-5.1073259928799075E-2</v>
      </c>
      <c r="R36" s="1">
        <f t="shared" si="1"/>
        <v>-5.9163795667501518E-2</v>
      </c>
      <c r="S36" s="1">
        <f t="shared" si="2"/>
        <v>3.8482162580095292E-2</v>
      </c>
      <c r="T36" s="1">
        <f t="shared" si="3"/>
        <v>-0.32116668077809862</v>
      </c>
      <c r="U36" s="1"/>
      <c r="V36" s="1">
        <f t="shared" si="4"/>
        <v>6.076827575240884E-2</v>
      </c>
      <c r="W36" s="1">
        <f t="shared" si="5"/>
        <v>-8.441334056769989E-2</v>
      </c>
      <c r="X36" s="1">
        <f t="shared" si="6"/>
        <v>0.14520534171120403</v>
      </c>
      <c r="Y36" s="1">
        <f t="shared" si="7"/>
        <v>-0.26165500554590082</v>
      </c>
      <c r="AB36" s="1"/>
      <c r="AC36" s="1"/>
      <c r="AD36" s="1"/>
      <c r="AE36" s="1"/>
      <c r="AF36" s="1"/>
      <c r="AG36" s="1"/>
      <c r="AH36" s="1"/>
      <c r="AI36" s="1"/>
    </row>
  </sheetData>
  <sortState xmlns:xlrd2="http://schemas.microsoft.com/office/spreadsheetml/2017/richdata2" ref="D7:E36">
    <sortCondition ref="D7:D36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84516-8832-4EE8-93EF-5A08DB826D36}">
  <sheetPr>
    <tabColor theme="4"/>
    <pageSetUpPr fitToPage="1"/>
  </sheetPr>
  <dimension ref="A1:AS39"/>
  <sheetViews>
    <sheetView tabSelected="1" topLeftCell="O1" zoomScale="85" zoomScaleNormal="85" workbookViewId="0">
      <selection activeCell="AI9" sqref="AI9:AS24"/>
    </sheetView>
  </sheetViews>
  <sheetFormatPr defaultRowHeight="17" x14ac:dyDescent="0.45"/>
  <cols>
    <col min="2" max="23" width="5.75" customWidth="1"/>
    <col min="25" max="33" width="5.75" customWidth="1"/>
    <col min="35" max="35" width="10.83203125" bestFit="1" customWidth="1"/>
    <col min="36" max="39" width="6.58203125" customWidth="1"/>
    <col min="40" max="40" width="6.5" customWidth="1"/>
    <col min="41" max="41" width="10.83203125" bestFit="1" customWidth="1"/>
    <col min="42" max="45" width="6.58203125" customWidth="1"/>
    <col min="46" max="46" width="4.33203125" customWidth="1"/>
  </cols>
  <sheetData>
    <row r="1" spans="1:45" x14ac:dyDescent="0.45">
      <c r="A1" t="s">
        <v>7</v>
      </c>
      <c r="B1">
        <f>AVERAGE(B10:B39)</f>
        <v>51.264024411999998</v>
      </c>
      <c r="C1">
        <f t="shared" ref="C1:E1" si="0">AVERAGE(C10:C39)</f>
        <v>48.334192233666691</v>
      </c>
      <c r="D1">
        <f t="shared" si="0"/>
        <v>49.874602040333336</v>
      </c>
      <c r="E1">
        <f t="shared" si="0"/>
        <v>51.103231433333349</v>
      </c>
      <c r="H1">
        <f>AVERAGE(H10:H39)</f>
        <v>51.264024411999998</v>
      </c>
      <c r="I1">
        <f t="shared" ref="I1:K1" si="1">AVERAGE(I10:I39)</f>
        <v>48.334192233666691</v>
      </c>
      <c r="J1">
        <f t="shared" si="1"/>
        <v>49.874602040333336</v>
      </c>
      <c r="K1">
        <f t="shared" si="1"/>
        <v>51.103231433333349</v>
      </c>
      <c r="N1" s="3">
        <f>AVERAGE(N10:N39)</f>
        <v>51.202185792349653</v>
      </c>
      <c r="O1" s="3">
        <f t="shared" ref="O1:Q1" si="2">AVERAGE(O10:O39)</f>
        <v>48.282828282828241</v>
      </c>
      <c r="P1" s="3">
        <f t="shared" si="2"/>
        <v>49.836065573770448</v>
      </c>
      <c r="Q1" s="3">
        <f t="shared" si="2"/>
        <v>50.79989079989074</v>
      </c>
      <c r="R1" s="3"/>
      <c r="T1" s="3">
        <f>AVERAGE(T10:T39)</f>
        <v>51.179017061369969</v>
      </c>
      <c r="U1" s="3">
        <f t="shared" ref="U1:W1" si="3">AVERAGE(U10:U39)</f>
        <v>48.366812227074192</v>
      </c>
      <c r="V1" s="3">
        <f t="shared" si="3"/>
        <v>49.80901451489683</v>
      </c>
      <c r="W1" s="3">
        <f t="shared" si="3"/>
        <v>50.692867540029063</v>
      </c>
      <c r="Y1">
        <f>AVERAGE(Y10:Y39)</f>
        <v>6.1838619650328906E-2</v>
      </c>
      <c r="Z1">
        <f t="shared" ref="Z1:AB1" si="4">AVERAGE(Z10:Z39)</f>
        <v>5.1363950838426146E-2</v>
      </c>
      <c r="AA1">
        <f t="shared" si="4"/>
        <v>3.8536466562885341E-2</v>
      </c>
      <c r="AB1">
        <f t="shared" si="4"/>
        <v>0.303340633442582</v>
      </c>
      <c r="AD1">
        <f>AVERAGE(AD10:AD39)</f>
        <v>8.50073506300347E-2</v>
      </c>
      <c r="AE1">
        <f t="shared" ref="AE1:AG1" si="5">AVERAGE(AE10:AE39)</f>
        <v>-3.2619993407530253E-2</v>
      </c>
      <c r="AF1">
        <f t="shared" si="5"/>
        <v>6.5587525436509225E-2</v>
      </c>
      <c r="AG1">
        <f t="shared" si="5"/>
        <v>0.41036389330426926</v>
      </c>
    </row>
    <row r="2" spans="1:45" x14ac:dyDescent="0.45">
      <c r="A2" t="s">
        <v>13</v>
      </c>
      <c r="B2">
        <f>MAX(B10:B39)</f>
        <v>99.480866559999996</v>
      </c>
      <c r="C2">
        <f>MAX(C10:C39)</f>
        <v>97.130704170000001</v>
      </c>
      <c r="D2">
        <f>MAX(D10:D39)</f>
        <v>99.320035300000001</v>
      </c>
      <c r="E2">
        <f>MAX(E10:E39)</f>
        <v>98.801536670000004</v>
      </c>
      <c r="H2">
        <f>MAX(H10:H39)</f>
        <v>99.480866559999996</v>
      </c>
      <c r="I2">
        <f>MAX(I10:I39)</f>
        <v>97.130704170000001</v>
      </c>
      <c r="J2">
        <f>MAX(J10:J39)</f>
        <v>99.320035300000001</v>
      </c>
      <c r="K2">
        <f>MAX(K10:K39)</f>
        <v>98.801536670000004</v>
      </c>
      <c r="N2" s="3">
        <f>MAX(N10:N39)</f>
        <v>99.429793300071196</v>
      </c>
      <c r="O2" s="3">
        <f>MAX(O10:O39)</f>
        <v>97.051597051597</v>
      </c>
      <c r="P2" s="3">
        <f>MAX(P10:P39)</f>
        <v>99.358517462580096</v>
      </c>
      <c r="Q2" s="3">
        <f>MAX(Q10:Q39)</f>
        <v>98.443898443898405</v>
      </c>
      <c r="R2" s="3"/>
      <c r="T2" s="3">
        <f>MAX(T10:T39)</f>
        <v>99.541634835752404</v>
      </c>
      <c r="U2" s="3">
        <f>MAX(U10:U39)</f>
        <v>97.030567685589503</v>
      </c>
      <c r="V2" s="3">
        <f>MAX(V10:V39)</f>
        <v>99.465240641711205</v>
      </c>
      <c r="W2" s="3">
        <f>MAX(W10:W39)</f>
        <v>98.253275109170303</v>
      </c>
      <c r="Y2">
        <f>MAX(Y10:Y39)</f>
        <v>0.14444479235219987</v>
      </c>
      <c r="Z2">
        <f>MAX(Z10:Z39)</f>
        <v>0.15655335632270351</v>
      </c>
      <c r="AA2">
        <f>MAX(AA10:AA39)</f>
        <v>0.15733733310059961</v>
      </c>
      <c r="AB2">
        <f>MAX(AB10:AB39)</f>
        <v>0.41086256043409719</v>
      </c>
      <c r="AD2">
        <f>MAX(AD10:AD39)</f>
        <v>0.42392260510320057</v>
      </c>
      <c r="AE2">
        <f>MAX(AE10:AE39)</f>
        <v>0.4349055843232037</v>
      </c>
      <c r="AF2">
        <f>MAX(AF10:AF39)</f>
        <v>0.29354956271964916</v>
      </c>
      <c r="AG2">
        <f>MAX(AG10:AG39)</f>
        <v>0.89299207951970061</v>
      </c>
    </row>
    <row r="3" spans="1:45" x14ac:dyDescent="0.45">
      <c r="A3" t="s">
        <v>33</v>
      </c>
      <c r="B3">
        <f>MIN(B10:B39)</f>
        <v>0.61929109000000004</v>
      </c>
      <c r="C3">
        <f>MIN(C10:C39)</f>
        <v>3.8649807300000001</v>
      </c>
      <c r="D3">
        <f>MIN(D10:D39)</f>
        <v>5.0170181700000001</v>
      </c>
      <c r="E3">
        <f>MIN(E10:E39)</f>
        <v>5.7628103299999998</v>
      </c>
      <c r="H3">
        <f>MIN(H10:H39)</f>
        <v>0.61929109000000004</v>
      </c>
      <c r="I3">
        <f>MIN(I10:I39)</f>
        <v>3.8649807300000001</v>
      </c>
      <c r="J3">
        <f>MIN(J10:J39)</f>
        <v>5.0170181700000001</v>
      </c>
      <c r="K3">
        <f>MIN(K10:K39)</f>
        <v>5.7628103299999998</v>
      </c>
      <c r="N3">
        <f>MIN(N10:N39)</f>
        <v>0.57020669992872097</v>
      </c>
      <c r="O3">
        <f>MIN(O10:O39)</f>
        <v>3.7674037674037399</v>
      </c>
      <c r="P3">
        <f>MIN(P10:P39)</f>
        <v>4.91803278688523</v>
      </c>
      <c r="Q3">
        <f>MIN(Q10:Q39)</f>
        <v>5.4873054873054903</v>
      </c>
      <c r="T3">
        <f>MIN(T10:T39)</f>
        <v>0.305576776165004</v>
      </c>
      <c r="U3">
        <f>MIN(U10:U39)</f>
        <v>3.84279475982532</v>
      </c>
      <c r="V3">
        <f>MIN(V10:V39)</f>
        <v>4.7364400305576799</v>
      </c>
      <c r="W3">
        <f>MIN(W10:W39)</f>
        <v>5.5895196506550198</v>
      </c>
      <c r="Y3">
        <f>MIN(Y10:Y39)</f>
        <v>-1.9137439557994185E-2</v>
      </c>
      <c r="Z3">
        <f>MIN(Z10:Z39)</f>
        <v>-4.1645684750200473E-2</v>
      </c>
      <c r="AA3">
        <f>MIN(AA10:AA39)</f>
        <v>-5.8206530099703002E-2</v>
      </c>
      <c r="AB3">
        <f>MIN(AB10:AB39)</f>
        <v>0.19504241971340264</v>
      </c>
      <c r="AD3">
        <f>MIN(AD10:AD39)</f>
        <v>-0.27748628587468716</v>
      </c>
      <c r="AE3">
        <f>MIN(AE10:AE39)</f>
        <v>-0.52407999144103901</v>
      </c>
      <c r="AF3">
        <f>MIN(AF10:AF39)</f>
        <v>-0.21291709464469832</v>
      </c>
      <c r="AG3">
        <f>MIN(AG10:AG39)</f>
        <v>-9.1590545021801972E-2</v>
      </c>
    </row>
    <row r="4" spans="1:45" x14ac:dyDescent="0.45">
      <c r="A4" t="s">
        <v>34</v>
      </c>
      <c r="B4" cm="1">
        <f t="array" ref="B4">MAX(ABS(B10:B39))</f>
        <v>99.480866559999996</v>
      </c>
      <c r="C4" cm="1">
        <f t="array" ref="C4">MAX(ABS(C10:C39))</f>
        <v>97.130704170000001</v>
      </c>
      <c r="D4" cm="1">
        <f t="array" ref="D4">MAX(ABS(D10:D39))</f>
        <v>99.320035300000001</v>
      </c>
      <c r="E4" cm="1">
        <f t="array" ref="E4">MAX(ABS(E10:E39))</f>
        <v>98.801536670000004</v>
      </c>
      <c r="H4" cm="1">
        <f t="array" ref="H4">MAX(ABS(H10:H39))</f>
        <v>99.480866559999996</v>
      </c>
      <c r="I4" cm="1">
        <f t="array" ref="I4">MAX(ABS(I10:I39))</f>
        <v>97.130704170000001</v>
      </c>
      <c r="J4" cm="1">
        <f t="array" ref="J4">MAX(ABS(J10:J39))</f>
        <v>99.320035300000001</v>
      </c>
      <c r="K4" cm="1">
        <f t="array" ref="K4">MAX(ABS(K10:K39))</f>
        <v>98.801536670000004</v>
      </c>
      <c r="N4" cm="1">
        <f t="array" ref="N4">MAX(ABS(N10:N39))</f>
        <v>99.429793300071196</v>
      </c>
      <c r="O4" cm="1">
        <f t="array" ref="O4">MAX(ABS(O10:O39))</f>
        <v>97.051597051597</v>
      </c>
      <c r="P4" cm="1">
        <f t="array" ref="P4">MAX(ABS(P10:P39))</f>
        <v>99.358517462580096</v>
      </c>
      <c r="Q4" cm="1">
        <f t="array" ref="Q4">MAX(ABS(Q10:Q39))</f>
        <v>98.443898443898405</v>
      </c>
      <c r="T4" cm="1">
        <f t="array" ref="T4">MAX(ABS(T10:T39))</f>
        <v>99.541634835752404</v>
      </c>
      <c r="U4" cm="1">
        <f t="array" ref="U4">MAX(ABS(U10:U39))</f>
        <v>97.030567685589503</v>
      </c>
      <c r="V4" cm="1">
        <f t="array" ref="V4">MAX(ABS(V10:V39))</f>
        <v>99.465240641711205</v>
      </c>
      <c r="W4" cm="1">
        <f t="array" ref="W4">MAX(ABS(W10:W39))</f>
        <v>98.253275109170303</v>
      </c>
      <c r="Y4" cm="1">
        <f t="array" ref="Y4">MAX(ABS(Y10:Y39))</f>
        <v>0.14444479235219987</v>
      </c>
      <c r="Z4" cm="1">
        <f t="array" ref="Z4">MAX(ABS(Z10:Z39))</f>
        <v>0.15655335632270351</v>
      </c>
      <c r="AA4" cm="1">
        <f t="array" ref="AA4">MAX(ABS(AA10:AA39))</f>
        <v>0.15733733310059961</v>
      </c>
      <c r="AB4" cm="1">
        <f t="array" ref="AB4">MAX(ABS(AB10:AB39))</f>
        <v>0.41086256043409719</v>
      </c>
      <c r="AD4" cm="1">
        <f t="array" ref="AD4">MAX(ABS(AD10:AD39))</f>
        <v>0.42392260510320057</v>
      </c>
      <c r="AE4" cm="1">
        <f t="array" ref="AE4">MAX(ABS(AE10:AE39))</f>
        <v>0.52407999144103901</v>
      </c>
      <c r="AF4" cm="1">
        <f t="array" ref="AF4">MAX(ABS(AF10:AF39))</f>
        <v>0.29354956271964916</v>
      </c>
      <c r="AG4" cm="1">
        <f t="array" ref="AG4">MAX(ABS(AG10:AG39))</f>
        <v>0.89299207951970061</v>
      </c>
    </row>
    <row r="6" spans="1:45" x14ac:dyDescent="0.45">
      <c r="Y6" t="s">
        <v>43</v>
      </c>
      <c r="AD6" t="s">
        <v>43</v>
      </c>
      <c r="AI6" s="5" t="s">
        <v>41</v>
      </c>
      <c r="AJ6" s="5"/>
      <c r="AK6" s="6"/>
      <c r="AL6" s="6"/>
      <c r="AM6" s="6"/>
      <c r="AN6" s="6"/>
      <c r="AO6" s="6"/>
      <c r="AP6" s="6"/>
      <c r="AQ6" s="6"/>
      <c r="AR6" s="6"/>
      <c r="AS6" s="6"/>
    </row>
    <row r="7" spans="1:45" x14ac:dyDescent="0.45">
      <c r="B7" t="s">
        <v>0</v>
      </c>
      <c r="C7" t="s">
        <v>0</v>
      </c>
      <c r="D7" t="s">
        <v>16</v>
      </c>
      <c r="N7" s="1" t="s">
        <v>0</v>
      </c>
      <c r="O7" s="1" t="s">
        <v>0</v>
      </c>
      <c r="P7" s="1" t="s">
        <v>19</v>
      </c>
      <c r="Q7" s="1" t="s">
        <v>19</v>
      </c>
      <c r="R7" s="1"/>
      <c r="S7" s="1"/>
      <c r="T7" s="1" t="s">
        <v>0</v>
      </c>
      <c r="U7" s="1" t="s">
        <v>0</v>
      </c>
      <c r="V7" s="1" t="s">
        <v>19</v>
      </c>
      <c r="W7" s="1" t="s">
        <v>19</v>
      </c>
      <c r="Y7" s="1" t="s">
        <v>20</v>
      </c>
      <c r="Z7" s="1" t="s">
        <v>20</v>
      </c>
      <c r="AA7" s="1" t="s">
        <v>19</v>
      </c>
      <c r="AB7" s="1" t="s">
        <v>19</v>
      </c>
      <c r="AC7" s="1"/>
      <c r="AD7" s="1" t="s">
        <v>20</v>
      </c>
      <c r="AE7" s="1" t="s">
        <v>20</v>
      </c>
      <c r="AF7" s="1" t="s">
        <v>19</v>
      </c>
      <c r="AG7" s="1" t="s">
        <v>19</v>
      </c>
      <c r="AI7" s="5"/>
      <c r="AJ7" s="5" t="s">
        <v>44</v>
      </c>
      <c r="AK7" s="7"/>
      <c r="AL7" s="7"/>
      <c r="AM7" s="7"/>
      <c r="AN7" s="7"/>
      <c r="AO7" s="6"/>
      <c r="AP7" s="7"/>
      <c r="AQ7" s="7"/>
      <c r="AR7" s="7"/>
      <c r="AS7" s="6"/>
    </row>
    <row r="8" spans="1:45" x14ac:dyDescent="0.45">
      <c r="N8" s="1" t="s">
        <v>14</v>
      </c>
      <c r="O8" s="1" t="s">
        <v>14</v>
      </c>
      <c r="P8" s="1" t="s">
        <v>14</v>
      </c>
      <c r="Q8" s="1" t="s">
        <v>14</v>
      </c>
      <c r="R8" s="1"/>
      <c r="S8" s="1"/>
      <c r="T8" s="1" t="s">
        <v>15</v>
      </c>
      <c r="U8" s="1" t="s">
        <v>15</v>
      </c>
      <c r="V8" s="1" t="s">
        <v>15</v>
      </c>
      <c r="W8" s="1" t="s">
        <v>15</v>
      </c>
      <c r="Y8" s="1" t="s">
        <v>14</v>
      </c>
      <c r="Z8" s="1" t="s">
        <v>14</v>
      </c>
      <c r="AA8" s="1" t="s">
        <v>14</v>
      </c>
      <c r="AB8" s="1" t="s">
        <v>14</v>
      </c>
      <c r="AC8" s="1"/>
      <c r="AD8" s="1" t="s">
        <v>15</v>
      </c>
      <c r="AE8" s="1" t="s">
        <v>15</v>
      </c>
      <c r="AF8" s="1" t="s">
        <v>15</v>
      </c>
      <c r="AG8" s="1" t="s">
        <v>15</v>
      </c>
    </row>
    <row r="9" spans="1:45" x14ac:dyDescent="0.45">
      <c r="B9" s="1" t="s">
        <v>1</v>
      </c>
      <c r="C9" s="1" t="s">
        <v>2</v>
      </c>
      <c r="D9" s="1" t="s">
        <v>11</v>
      </c>
      <c r="E9" s="1" t="s">
        <v>12</v>
      </c>
      <c r="F9" s="1"/>
      <c r="G9" s="1"/>
      <c r="H9" s="1" t="s">
        <v>1</v>
      </c>
      <c r="I9" s="1" t="s">
        <v>2</v>
      </c>
      <c r="J9" s="1" t="s">
        <v>11</v>
      </c>
      <c r="K9" s="1" t="s">
        <v>12</v>
      </c>
      <c r="L9" s="1"/>
      <c r="M9" s="1"/>
      <c r="N9" s="1" t="s">
        <v>3</v>
      </c>
      <c r="O9" s="1" t="s">
        <v>4</v>
      </c>
      <c r="P9" s="1" t="s">
        <v>9</v>
      </c>
      <c r="Q9" s="1" t="s">
        <v>10</v>
      </c>
      <c r="R9" s="1"/>
      <c r="S9" s="1"/>
      <c r="T9" s="1" t="s">
        <v>3</v>
      </c>
      <c r="U9" s="1" t="s">
        <v>4</v>
      </c>
      <c r="V9" s="1" t="s">
        <v>9</v>
      </c>
      <c r="W9" s="1" t="s">
        <v>10</v>
      </c>
      <c r="Y9" s="1" t="s">
        <v>5</v>
      </c>
      <c r="Z9" s="1" t="s">
        <v>6</v>
      </c>
      <c r="AA9" s="1" t="s">
        <v>5</v>
      </c>
      <c r="AB9" s="1" t="s">
        <v>6</v>
      </c>
      <c r="AC9" s="1"/>
      <c r="AD9" s="1" t="s">
        <v>5</v>
      </c>
      <c r="AE9" s="1" t="s">
        <v>6</v>
      </c>
      <c r="AF9" s="1" t="s">
        <v>5</v>
      </c>
      <c r="AG9" s="1" t="s">
        <v>6</v>
      </c>
      <c r="AI9" s="8"/>
      <c r="AJ9" s="9" t="s">
        <v>29</v>
      </c>
      <c r="AK9" s="9" t="s">
        <v>29</v>
      </c>
      <c r="AL9" s="9" t="s">
        <v>29</v>
      </c>
      <c r="AM9" s="9" t="s">
        <v>29</v>
      </c>
      <c r="AN9" s="1"/>
      <c r="AO9" s="8"/>
      <c r="AP9" s="9" t="s">
        <v>46</v>
      </c>
      <c r="AQ9" s="9" t="s">
        <v>46</v>
      </c>
      <c r="AR9" s="9" t="s">
        <v>46</v>
      </c>
      <c r="AS9" s="9" t="s">
        <v>46</v>
      </c>
    </row>
    <row r="10" spans="1:45" x14ac:dyDescent="0.45">
      <c r="B10" s="1">
        <v>0.61929109000000004</v>
      </c>
      <c r="C10" s="1">
        <v>96.887734350000002</v>
      </c>
      <c r="D10" s="1">
        <v>5.0170181700000001</v>
      </c>
      <c r="E10" s="1">
        <v>57.052771679999999</v>
      </c>
      <c r="F10" s="1"/>
      <c r="G10" s="1"/>
      <c r="H10" s="1">
        <v>0.61929109000000004</v>
      </c>
      <c r="I10" s="1">
        <v>96.887734350000002</v>
      </c>
      <c r="J10" s="1">
        <v>5.0170181700000001</v>
      </c>
      <c r="K10" s="1">
        <v>57.052771679999999</v>
      </c>
      <c r="L10" s="1"/>
      <c r="M10" s="1"/>
      <c r="N10" s="1">
        <v>0.57020669992872097</v>
      </c>
      <c r="O10" s="1">
        <v>96.887796887796796</v>
      </c>
      <c r="P10" s="1">
        <v>4.91803278688523</v>
      </c>
      <c r="Q10" s="1">
        <v>56.674856674856599</v>
      </c>
      <c r="R10" s="1"/>
      <c r="S10" s="1"/>
      <c r="T10" s="1">
        <v>0.305576776165004</v>
      </c>
      <c r="U10" s="1">
        <v>97.030567685589503</v>
      </c>
      <c r="V10" s="1">
        <v>4.7364400305576799</v>
      </c>
      <c r="W10" s="1">
        <v>56.244541484716102</v>
      </c>
      <c r="Y10" s="1">
        <f>B10-N10</f>
        <v>4.9084390071279071E-2</v>
      </c>
      <c r="Z10" s="1">
        <f t="shared" ref="Z10:AB39" si="6">C10-O10</f>
        <v>-6.2537796793549205E-5</v>
      </c>
      <c r="AA10" s="1">
        <f t="shared" si="6"/>
        <v>9.8985383114770009E-2</v>
      </c>
      <c r="AB10" s="1">
        <f t="shared" si="6"/>
        <v>0.37791500514340015</v>
      </c>
      <c r="AC10" s="1"/>
      <c r="AD10" s="1">
        <f>H10-T10</f>
        <v>0.31371431383499604</v>
      </c>
      <c r="AE10" s="1">
        <f t="shared" ref="AE10:AG39" si="7">I10-U10</f>
        <v>-0.14283333558950062</v>
      </c>
      <c r="AF10" s="1">
        <f t="shared" si="7"/>
        <v>0.28057813944232013</v>
      </c>
      <c r="AG10" s="1">
        <f t="shared" si="7"/>
        <v>0.8082301952838975</v>
      </c>
      <c r="AI10" s="8"/>
      <c r="AJ10" s="9" t="s">
        <v>5</v>
      </c>
      <c r="AK10" s="9" t="s">
        <v>6</v>
      </c>
      <c r="AL10" s="9" t="s">
        <v>5</v>
      </c>
      <c r="AM10" s="9" t="s">
        <v>6</v>
      </c>
      <c r="AN10" s="1"/>
      <c r="AO10" s="8"/>
      <c r="AP10" s="9" t="s">
        <v>5</v>
      </c>
      <c r="AQ10" s="9" t="s">
        <v>6</v>
      </c>
      <c r="AR10" s="9" t="s">
        <v>5</v>
      </c>
      <c r="AS10" s="9" t="s">
        <v>6</v>
      </c>
    </row>
    <row r="11" spans="1:45" x14ac:dyDescent="0.45">
      <c r="B11" s="1">
        <v>1.01005926</v>
      </c>
      <c r="C11" s="1">
        <v>40.619276669999998</v>
      </c>
      <c r="D11" s="1">
        <v>10.072006399999999</v>
      </c>
      <c r="E11" s="1">
        <v>16.915309789999998</v>
      </c>
      <c r="F11" s="1"/>
      <c r="G11" s="1"/>
      <c r="H11" s="1">
        <v>1.01005926</v>
      </c>
      <c r="I11" s="1">
        <v>40.619276669999998</v>
      </c>
      <c r="J11" s="1">
        <v>10.072006399999999</v>
      </c>
      <c r="K11" s="1">
        <v>16.915309789999998</v>
      </c>
      <c r="L11" s="1"/>
      <c r="M11" s="1"/>
      <c r="N11" s="1">
        <v>0.92658588738417402</v>
      </c>
      <c r="O11" s="1">
        <v>40.6224406224406</v>
      </c>
      <c r="P11" s="1">
        <v>10.049893086243699</v>
      </c>
      <c r="Q11" s="1">
        <v>16.543816543816501</v>
      </c>
      <c r="R11" s="1"/>
      <c r="S11" s="1"/>
      <c r="T11" s="1">
        <v>0.84033613445377497</v>
      </c>
      <c r="U11" s="1">
        <v>40.786026200873302</v>
      </c>
      <c r="V11" s="1">
        <v>9.7784568372803502</v>
      </c>
      <c r="W11" s="1">
        <v>16.855895196506498</v>
      </c>
      <c r="Y11" s="1">
        <f t="shared" ref="Y11:Y39" si="8">B11-N11</f>
        <v>8.3473372615825991E-2</v>
      </c>
      <c r="Z11" s="1">
        <f t="shared" si="6"/>
        <v>-3.1639524406017472E-3</v>
      </c>
      <c r="AA11" s="1">
        <f t="shared" si="6"/>
        <v>2.2113313756300101E-2</v>
      </c>
      <c r="AB11" s="1">
        <f t="shared" si="6"/>
        <v>0.37149324618349766</v>
      </c>
      <c r="AC11" s="1"/>
      <c r="AD11" s="1">
        <f t="shared" ref="AD11:AD39" si="9">H11-T11</f>
        <v>0.16972312554622504</v>
      </c>
      <c r="AE11" s="1">
        <f t="shared" si="7"/>
        <v>-0.1667495308733038</v>
      </c>
      <c r="AF11" s="1">
        <f t="shared" si="7"/>
        <v>0.29354956271964916</v>
      </c>
      <c r="AG11" s="1">
        <f t="shared" si="7"/>
        <v>5.9414593493499979E-2</v>
      </c>
      <c r="AI11" s="8" t="s">
        <v>31</v>
      </c>
      <c r="AJ11" s="9">
        <f>AVERAGE(Y10:Y39)</f>
        <v>6.1838619650328906E-2</v>
      </c>
      <c r="AK11" s="9">
        <f>AVERAGE(Z10:Z39)</f>
        <v>5.1363950838426146E-2</v>
      </c>
      <c r="AL11" s="9">
        <f>AVERAGE(AA10:AA39)</f>
        <v>3.8536466562885341E-2</v>
      </c>
      <c r="AM11" s="9">
        <f>AVERAGE(AB10:AB39)</f>
        <v>0.303340633442582</v>
      </c>
      <c r="AN11" s="1"/>
      <c r="AO11" s="8" t="s">
        <v>31</v>
      </c>
      <c r="AP11" s="9">
        <f>AVERAGE(AD10:AD39)</f>
        <v>8.50073506300347E-2</v>
      </c>
      <c r="AQ11" s="9">
        <f>AVERAGE(AE10:AE39)</f>
        <v>-3.2619993407530253E-2</v>
      </c>
      <c r="AR11" s="9">
        <f>AVERAGE(AF10:AF39)</f>
        <v>6.5587525436509225E-2</v>
      </c>
      <c r="AS11" s="9">
        <f>AVERAGE(AG10:AG39)</f>
        <v>0.41036389330426926</v>
      </c>
    </row>
    <row r="12" spans="1:45" x14ac:dyDescent="0.45">
      <c r="B12" s="1">
        <v>5.9755596600000001</v>
      </c>
      <c r="C12" s="1">
        <v>71.766181930000002</v>
      </c>
      <c r="D12" s="1">
        <v>12.847396079999999</v>
      </c>
      <c r="E12" s="1">
        <v>98.801536670000004</v>
      </c>
      <c r="F12" s="1"/>
      <c r="G12" s="1"/>
      <c r="H12" s="1">
        <v>5.9755596600000001</v>
      </c>
      <c r="I12" s="1">
        <v>71.766181930000002</v>
      </c>
      <c r="J12" s="1">
        <v>12.847396079999999</v>
      </c>
      <c r="K12" s="1">
        <v>98.801536670000004</v>
      </c>
      <c r="L12" s="1"/>
      <c r="M12" s="1"/>
      <c r="N12" s="1">
        <v>5.8446186742694097</v>
      </c>
      <c r="O12" s="1">
        <v>71.662571662571594</v>
      </c>
      <c r="P12" s="1">
        <v>12.829650748396199</v>
      </c>
      <c r="Q12" s="1">
        <v>98.443898443898405</v>
      </c>
      <c r="R12" s="1"/>
      <c r="S12" s="1"/>
      <c r="T12" s="1">
        <v>5.8059587471352101</v>
      </c>
      <c r="U12" s="1">
        <v>71.353711790393007</v>
      </c>
      <c r="V12" s="1">
        <v>12.605042016806699</v>
      </c>
      <c r="W12" s="1">
        <v>98.253275109170303</v>
      </c>
      <c r="Y12" s="1">
        <f t="shared" si="8"/>
        <v>0.13094098573059032</v>
      </c>
      <c r="Z12" s="1">
        <f t="shared" si="6"/>
        <v>0.10361026742840806</v>
      </c>
      <c r="AA12" s="1">
        <f t="shared" si="6"/>
        <v>1.7745331603800096E-2</v>
      </c>
      <c r="AB12" s="1">
        <f t="shared" si="6"/>
        <v>0.35763822610159934</v>
      </c>
      <c r="AC12" s="1"/>
      <c r="AD12" s="1">
        <f t="shared" si="9"/>
        <v>0.16960091286478995</v>
      </c>
      <c r="AE12" s="1">
        <f t="shared" si="7"/>
        <v>0.41247013960699519</v>
      </c>
      <c r="AF12" s="1">
        <f t="shared" si="7"/>
        <v>0.24235406319330011</v>
      </c>
      <c r="AG12" s="1">
        <f t="shared" si="7"/>
        <v>0.54826156082970101</v>
      </c>
      <c r="AI12" s="8" t="s">
        <v>37</v>
      </c>
      <c r="AJ12" s="9" cm="1">
        <f t="array" ref="AJ12">MAX( ABS(Y10:Y39))</f>
        <v>0.14444479235219987</v>
      </c>
      <c r="AK12" s="9" cm="1">
        <f t="array" ref="AK12">MAX( ABS(Z10:Z39))</f>
        <v>0.15655335632270351</v>
      </c>
      <c r="AL12" s="9" cm="1">
        <f t="array" ref="AL12">MAX( ABS(AA10:AA39))</f>
        <v>0.15733733310059961</v>
      </c>
      <c r="AM12" s="9" cm="1">
        <f t="array" ref="AM12">MAX( ABS(AB10:AB39))</f>
        <v>0.41086256043409719</v>
      </c>
      <c r="AO12" s="8" t="s">
        <v>37</v>
      </c>
      <c r="AP12" s="9" cm="1">
        <f t="array" ref="AP12">MAX( ABS(AD10:AD39))</f>
        <v>0.42392260510320057</v>
      </c>
      <c r="AQ12" s="9" cm="1">
        <f t="array" ref="AQ12">MAX( ABS(AE10:AE39))</f>
        <v>0.52407999144103901</v>
      </c>
      <c r="AR12" s="9" cm="1">
        <f t="array" ref="AR12">MAX( ABS(AF10:AF39))</f>
        <v>0.29354956271964916</v>
      </c>
      <c r="AS12" s="9" cm="1">
        <f t="array" ref="AS12">MAX( ABS(AG10:AG39))</f>
        <v>0.89299207951970061</v>
      </c>
    </row>
    <row r="13" spans="1:45" x14ac:dyDescent="0.45">
      <c r="B13" s="1">
        <v>7.5932600099999998</v>
      </c>
      <c r="C13" s="1">
        <v>54.730763549999999</v>
      </c>
      <c r="D13" s="1">
        <v>15.78603996</v>
      </c>
      <c r="E13" s="1">
        <v>66.340428489999994</v>
      </c>
      <c r="F13" s="1"/>
      <c r="G13" s="1"/>
      <c r="H13" s="1">
        <v>7.5932600099999998</v>
      </c>
      <c r="I13" s="1">
        <v>54.730763549999999</v>
      </c>
      <c r="J13" s="1">
        <v>15.78603996</v>
      </c>
      <c r="K13" s="1">
        <v>66.340428489999994</v>
      </c>
      <c r="L13" s="1"/>
      <c r="M13" s="1"/>
      <c r="N13" s="1">
        <v>7.4839629365644997</v>
      </c>
      <c r="O13" s="1">
        <v>54.627354627354599</v>
      </c>
      <c r="P13" s="1">
        <v>15.823235923022001</v>
      </c>
      <c r="Q13" s="1">
        <v>65.929565929565896</v>
      </c>
      <c r="R13" s="1"/>
      <c r="S13" s="1"/>
      <c r="T13" s="1">
        <v>7.6394194041252703</v>
      </c>
      <c r="U13" s="1">
        <v>54.759825327510903</v>
      </c>
      <c r="V13" s="1">
        <v>15.8899923605805</v>
      </c>
      <c r="W13" s="1">
        <v>65.764192139737901</v>
      </c>
      <c r="Y13" s="1">
        <f t="shared" si="8"/>
        <v>0.1092970734355001</v>
      </c>
      <c r="Z13" s="1">
        <f t="shared" si="6"/>
        <v>0.10340892264540003</v>
      </c>
      <c r="AA13" s="1">
        <f t="shared" si="6"/>
        <v>-3.7195963022000456E-2</v>
      </c>
      <c r="AB13" s="1">
        <f t="shared" si="6"/>
        <v>0.41086256043409719</v>
      </c>
      <c r="AC13" s="1"/>
      <c r="AD13" s="1">
        <f t="shared" si="9"/>
        <v>-4.6159394125270481E-2</v>
      </c>
      <c r="AE13" s="1">
        <f t="shared" si="7"/>
        <v>-2.9061777510904108E-2</v>
      </c>
      <c r="AF13" s="1">
        <f t="shared" si="7"/>
        <v>-0.10395240058049993</v>
      </c>
      <c r="AG13" s="1">
        <f t="shared" si="7"/>
        <v>0.57623635026209286</v>
      </c>
      <c r="AI13" s="8" t="s">
        <v>32</v>
      </c>
      <c r="AJ13" s="9">
        <f>_xlfn.STDEV.S(Y10:Y39)</f>
        <v>4.990335373191479E-2</v>
      </c>
      <c r="AK13" s="9">
        <f>_xlfn.STDEV.S(Z10:Z39)</f>
        <v>5.1940154879321319E-2</v>
      </c>
      <c r="AL13" s="9">
        <f>_xlfn.STDEV.S(AA10:AA39)</f>
        <v>5.0321300205178811E-2</v>
      </c>
      <c r="AM13" s="9">
        <f>_xlfn.STDEV.S(AB10:AB39)</f>
        <v>5.5823933052761565E-2</v>
      </c>
      <c r="AN13" s="1"/>
      <c r="AO13" s="8" t="s">
        <v>32</v>
      </c>
      <c r="AP13" s="9">
        <f>_xlfn.STDEV.S(AD10:AD39)</f>
        <v>0.20502213068112957</v>
      </c>
      <c r="AQ13" s="9">
        <f>_xlfn.STDEV.S(AE10:AE39)</f>
        <v>0.28732855503796717</v>
      </c>
      <c r="AR13" s="9">
        <f>_xlfn.STDEV.S(AF10:AF39)</f>
        <v>0.17645719134975543</v>
      </c>
      <c r="AS13" s="9">
        <f>_xlfn.STDEV.S(AG10:AG39)</f>
        <v>0.26219446936639113</v>
      </c>
    </row>
    <row r="14" spans="1:45" x14ac:dyDescent="0.45">
      <c r="B14" s="1">
        <v>7.8804391100000002</v>
      </c>
      <c r="C14" s="1">
        <v>3.8649807300000001</v>
      </c>
      <c r="D14" s="1">
        <v>17.017010020000001</v>
      </c>
      <c r="E14" s="1">
        <v>11.506073649999999</v>
      </c>
      <c r="F14" s="1"/>
      <c r="G14" s="1"/>
      <c r="H14" s="1">
        <v>7.8804391100000002</v>
      </c>
      <c r="I14" s="1">
        <v>3.8649807300000001</v>
      </c>
      <c r="J14" s="1">
        <v>17.017010020000001</v>
      </c>
      <c r="K14" s="1">
        <v>11.506073649999999</v>
      </c>
      <c r="L14" s="1"/>
      <c r="M14" s="1"/>
      <c r="N14" s="1">
        <v>7.8403421240199602</v>
      </c>
      <c r="O14" s="1">
        <v>3.7674037674037399</v>
      </c>
      <c r="P14" s="1">
        <v>16.963649322879501</v>
      </c>
      <c r="Q14" s="1">
        <v>11.220311220311199</v>
      </c>
      <c r="R14" s="1"/>
      <c r="S14" s="1"/>
      <c r="T14" s="1">
        <v>7.5630252100840201</v>
      </c>
      <c r="U14" s="1">
        <v>3.84279475982532</v>
      </c>
      <c r="V14" s="1">
        <v>17.035905271199301</v>
      </c>
      <c r="W14" s="1">
        <v>11.0917030567685</v>
      </c>
      <c r="Y14" s="1">
        <f t="shared" si="8"/>
        <v>4.0096985980039968E-2</v>
      </c>
      <c r="Z14" s="1">
        <f t="shared" si="6"/>
        <v>9.7576962596260142E-2</v>
      </c>
      <c r="AA14" s="1">
        <f t="shared" si="6"/>
        <v>5.3360697120499623E-2</v>
      </c>
      <c r="AB14" s="1">
        <f t="shared" si="6"/>
        <v>0.28576242968880017</v>
      </c>
      <c r="AC14" s="1"/>
      <c r="AD14" s="1">
        <f t="shared" si="9"/>
        <v>0.31741389991598012</v>
      </c>
      <c r="AE14" s="1">
        <f t="shared" si="7"/>
        <v>2.2185970174680048E-2</v>
      </c>
      <c r="AF14" s="1">
        <f t="shared" si="7"/>
        <v>-1.8895251199300134E-2</v>
      </c>
      <c r="AG14" s="1">
        <f t="shared" si="7"/>
        <v>0.41437059323149938</v>
      </c>
    </row>
    <row r="15" spans="1:45" x14ac:dyDescent="0.45">
      <c r="B15" s="1">
        <v>18.96126589</v>
      </c>
      <c r="C15" s="1">
        <v>97.130704170000001</v>
      </c>
      <c r="D15" s="1">
        <v>17.326133760000001</v>
      </c>
      <c r="E15" s="1">
        <v>28.120390660000002</v>
      </c>
      <c r="F15" s="1"/>
      <c r="G15" s="1"/>
      <c r="H15" s="1">
        <v>18.96126589</v>
      </c>
      <c r="I15" s="1">
        <v>97.130704170000001</v>
      </c>
      <c r="J15" s="1">
        <v>17.326133760000001</v>
      </c>
      <c r="K15" s="1">
        <v>28.120390660000002</v>
      </c>
      <c r="L15" s="1"/>
      <c r="M15" s="1"/>
      <c r="N15" s="1">
        <v>18.8168210976478</v>
      </c>
      <c r="O15" s="1">
        <v>97.051597051597</v>
      </c>
      <c r="P15" s="1">
        <v>17.248752672843899</v>
      </c>
      <c r="Q15" s="1">
        <v>27.7641277641277</v>
      </c>
      <c r="R15" s="1"/>
      <c r="S15" s="1"/>
      <c r="T15" s="1">
        <v>18.640183346065701</v>
      </c>
      <c r="U15" s="1">
        <v>96.855895196506495</v>
      </c>
      <c r="V15" s="1">
        <v>17.035905271199301</v>
      </c>
      <c r="W15" s="1">
        <v>27.598253275109101</v>
      </c>
      <c r="Y15" s="1">
        <f t="shared" si="8"/>
        <v>0.14444479235219987</v>
      </c>
      <c r="Z15" s="1">
        <f t="shared" si="6"/>
        <v>7.9107118403001664E-2</v>
      </c>
      <c r="AA15" s="1">
        <f t="shared" si="6"/>
        <v>7.7381087156101813E-2</v>
      </c>
      <c r="AB15" s="1">
        <f t="shared" si="6"/>
        <v>0.35626289587230175</v>
      </c>
      <c r="AC15" s="1"/>
      <c r="AD15" s="1">
        <f t="shared" si="9"/>
        <v>0.32108254393429903</v>
      </c>
      <c r="AE15" s="1">
        <f t="shared" si="7"/>
        <v>0.27480897349350641</v>
      </c>
      <c r="AF15" s="1">
        <f t="shared" si="7"/>
        <v>0.29022848880070029</v>
      </c>
      <c r="AG15" s="1">
        <f t="shared" si="7"/>
        <v>0.52213738489090034</v>
      </c>
      <c r="AI15" s="8" t="s">
        <v>42</v>
      </c>
      <c r="AJ15" s="9"/>
      <c r="AK15" s="9"/>
      <c r="AL15" s="9"/>
      <c r="AM15" s="9"/>
      <c r="AN15" s="1"/>
      <c r="AO15" s="8" t="s">
        <v>42</v>
      </c>
      <c r="AP15" s="9"/>
      <c r="AQ15" s="9"/>
      <c r="AR15" s="9"/>
      <c r="AS15" s="9"/>
    </row>
    <row r="16" spans="1:45" x14ac:dyDescent="0.45">
      <c r="B16" s="1">
        <v>27.488892379999999</v>
      </c>
      <c r="C16" s="1">
        <v>73.26650223</v>
      </c>
      <c r="D16" s="1">
        <v>19.610628680000001</v>
      </c>
      <c r="E16" s="1">
        <v>20.47860184</v>
      </c>
      <c r="F16" s="1"/>
      <c r="G16" s="1"/>
      <c r="H16" s="1">
        <v>27.488892379999999</v>
      </c>
      <c r="I16" s="1">
        <v>73.26650223</v>
      </c>
      <c r="J16" s="1">
        <v>19.610628680000001</v>
      </c>
      <c r="K16" s="1">
        <v>20.47860184</v>
      </c>
      <c r="L16" s="1"/>
      <c r="M16" s="1"/>
      <c r="N16" s="1">
        <v>27.369921596578699</v>
      </c>
      <c r="O16" s="1">
        <v>73.218673218673203</v>
      </c>
      <c r="P16" s="1">
        <v>19.529579472558801</v>
      </c>
      <c r="Q16" s="1">
        <v>20.1474201474201</v>
      </c>
      <c r="R16" s="1"/>
      <c r="S16" s="1"/>
      <c r="T16" s="1">
        <v>27.5783040488922</v>
      </c>
      <c r="U16" s="1">
        <v>73.449781659388606</v>
      </c>
      <c r="V16" s="1">
        <v>19.327731092436899</v>
      </c>
      <c r="W16" s="1">
        <v>19.9126637554585</v>
      </c>
      <c r="Y16" s="1">
        <f t="shared" si="8"/>
        <v>0.1189707834213003</v>
      </c>
      <c r="Z16" s="1">
        <f t="shared" si="6"/>
        <v>4.7829011326797399E-2</v>
      </c>
      <c r="AA16" s="1">
        <f t="shared" si="6"/>
        <v>8.1049207441200366E-2</v>
      </c>
      <c r="AB16" s="1">
        <f t="shared" si="6"/>
        <v>0.33118169257990004</v>
      </c>
      <c r="AC16" s="1"/>
      <c r="AD16" s="1">
        <f t="shared" si="9"/>
        <v>-8.9411668892200424E-2</v>
      </c>
      <c r="AE16" s="1">
        <f t="shared" si="7"/>
        <v>-0.18327942938860531</v>
      </c>
      <c r="AF16" s="1">
        <f t="shared" si="7"/>
        <v>0.28289758756310235</v>
      </c>
      <c r="AG16" s="1">
        <f t="shared" si="7"/>
        <v>0.56593808454150007</v>
      </c>
      <c r="AI16" s="10" t="s">
        <v>39</v>
      </c>
      <c r="AJ16" s="11">
        <f>N2</f>
        <v>99.429793300071196</v>
      </c>
      <c r="AK16" s="11">
        <f>O2</f>
        <v>97.051597051597</v>
      </c>
      <c r="AL16" s="11">
        <f>P2</f>
        <v>99.358517462580096</v>
      </c>
      <c r="AM16" s="11">
        <f>Q2</f>
        <v>98.443898443898405</v>
      </c>
      <c r="AN16" s="4"/>
      <c r="AO16" s="10" t="s">
        <v>39</v>
      </c>
      <c r="AP16" s="11">
        <f>T2</f>
        <v>99.541634835752404</v>
      </c>
      <c r="AQ16" s="11">
        <f t="shared" ref="AQ16:AS16" si="10">U2</f>
        <v>97.030567685589503</v>
      </c>
      <c r="AR16" s="11">
        <f t="shared" si="10"/>
        <v>99.465240641711205</v>
      </c>
      <c r="AS16" s="11">
        <f t="shared" si="10"/>
        <v>98.253275109170303</v>
      </c>
    </row>
    <row r="17" spans="2:45" x14ac:dyDescent="0.45">
      <c r="B17" s="1">
        <v>33.628172839999998</v>
      </c>
      <c r="C17" s="1">
        <v>34.086951380000002</v>
      </c>
      <c r="D17" s="1">
        <v>24.760951380000002</v>
      </c>
      <c r="E17" s="1">
        <v>46.63482003</v>
      </c>
      <c r="F17" s="1"/>
      <c r="G17" s="1"/>
      <c r="H17" s="1">
        <v>33.628172839999998</v>
      </c>
      <c r="I17" s="1">
        <v>34.086951380000002</v>
      </c>
      <c r="J17" s="1">
        <v>24.760951380000002</v>
      </c>
      <c r="K17" s="1">
        <v>46.63482003</v>
      </c>
      <c r="L17" s="1"/>
      <c r="M17" s="1"/>
      <c r="N17" s="1">
        <v>33.499643620812499</v>
      </c>
      <c r="O17" s="1">
        <v>34.070434070433997</v>
      </c>
      <c r="P17" s="1">
        <v>24.732715609408402</v>
      </c>
      <c r="Q17" s="1">
        <v>46.437346437346399</v>
      </c>
      <c r="R17" s="1"/>
      <c r="S17" s="1"/>
      <c r="T17" s="1">
        <v>33.766233766233697</v>
      </c>
      <c r="U17" s="1">
        <v>34.235807860262</v>
      </c>
      <c r="V17" s="1">
        <v>24.751718869365899</v>
      </c>
      <c r="W17" s="1">
        <v>46.026200873362399</v>
      </c>
      <c r="Y17" s="1">
        <f t="shared" si="8"/>
        <v>0.12852921918749871</v>
      </c>
      <c r="Z17" s="1">
        <f t="shared" si="6"/>
        <v>1.6517309566005167E-2</v>
      </c>
      <c r="AA17" s="1">
        <f t="shared" si="6"/>
        <v>2.8235770591599874E-2</v>
      </c>
      <c r="AB17" s="1">
        <f t="shared" si="6"/>
        <v>0.19747359265360132</v>
      </c>
      <c r="AC17" s="1"/>
      <c r="AD17" s="1">
        <f t="shared" si="9"/>
        <v>-0.13806092623369892</v>
      </c>
      <c r="AE17" s="1">
        <f t="shared" si="7"/>
        <v>-0.1488564802619976</v>
      </c>
      <c r="AF17" s="1">
        <f t="shared" si="7"/>
        <v>9.2325106341029084E-3</v>
      </c>
      <c r="AG17" s="1">
        <f t="shared" si="7"/>
        <v>0.60861915663760158</v>
      </c>
      <c r="AI17" s="8" t="s">
        <v>38</v>
      </c>
      <c r="AJ17" s="12">
        <f t="shared" ref="AJ17:AM19" si="11">AJ11/AJ$16</f>
        <v>6.2193249727176723E-4</v>
      </c>
      <c r="AK17" s="12">
        <f t="shared" si="11"/>
        <v>5.2924374661365706E-4</v>
      </c>
      <c r="AL17" s="12">
        <f t="shared" si="11"/>
        <v>3.8785267279575455E-4</v>
      </c>
      <c r="AM17" s="12">
        <f t="shared" si="11"/>
        <v>3.0813553530232344E-3</v>
      </c>
      <c r="AN17" s="2"/>
      <c r="AO17" s="8" t="s">
        <v>38</v>
      </c>
      <c r="AP17" s="12">
        <f t="shared" ref="AP17:AS19" si="12">AP11/AP$16</f>
        <v>8.5398788929175369E-4</v>
      </c>
      <c r="AQ17" s="12">
        <f t="shared" si="12"/>
        <v>-3.361826503296323E-4</v>
      </c>
      <c r="AR17" s="12">
        <f t="shared" si="12"/>
        <v>6.5940146541006606E-4</v>
      </c>
      <c r="AS17" s="12">
        <f t="shared" si="12"/>
        <v>4.1765925140745631E-3</v>
      </c>
    </row>
    <row r="18" spans="2:45" x14ac:dyDescent="0.45">
      <c r="B18" s="1">
        <v>34.344647449999997</v>
      </c>
      <c r="C18" s="1">
        <v>88.822713419999999</v>
      </c>
      <c r="D18" s="1">
        <v>24.961328779999999</v>
      </c>
      <c r="E18" s="1">
        <v>49.428060109999997</v>
      </c>
      <c r="F18" s="1"/>
      <c r="G18" s="1"/>
      <c r="H18" s="1">
        <v>34.344647449999997</v>
      </c>
      <c r="I18" s="1">
        <v>88.822713419999999</v>
      </c>
      <c r="J18" s="1">
        <v>24.961328779999999</v>
      </c>
      <c r="K18" s="1">
        <v>49.428060109999997</v>
      </c>
      <c r="L18" s="1"/>
      <c r="M18" s="1"/>
      <c r="N18" s="1">
        <v>34.354953670705598</v>
      </c>
      <c r="O18" s="1">
        <v>88.779688779688698</v>
      </c>
      <c r="P18" s="1">
        <v>24.803991446899399</v>
      </c>
      <c r="Q18" s="1">
        <v>49.140049140049101</v>
      </c>
      <c r="R18" s="1"/>
      <c r="S18" s="1"/>
      <c r="T18" s="1">
        <v>34.377387318563699</v>
      </c>
      <c r="U18" s="1">
        <v>88.558951965065503</v>
      </c>
      <c r="V18" s="1">
        <v>24.828113063407098</v>
      </c>
      <c r="W18" s="1">
        <v>49.519650655021799</v>
      </c>
      <c r="Y18" s="1">
        <f t="shared" si="8"/>
        <v>-1.0306220705601277E-2</v>
      </c>
      <c r="Z18" s="1">
        <f t="shared" si="6"/>
        <v>4.302464031130171E-2</v>
      </c>
      <c r="AA18" s="1">
        <f t="shared" si="6"/>
        <v>0.15733733310059961</v>
      </c>
      <c r="AB18" s="1">
        <f t="shared" si="6"/>
        <v>0.28801096995089637</v>
      </c>
      <c r="AC18" s="1"/>
      <c r="AD18" s="1">
        <f t="shared" si="9"/>
        <v>-3.2739868563702146E-2</v>
      </c>
      <c r="AE18" s="1">
        <f t="shared" si="7"/>
        <v>0.26376145493449599</v>
      </c>
      <c r="AF18" s="1">
        <f t="shared" si="7"/>
        <v>0.13321571659290043</v>
      </c>
      <c r="AG18" s="1">
        <f t="shared" si="7"/>
        <v>-9.1590545021801972E-2</v>
      </c>
      <c r="AI18" s="8" t="s">
        <v>36</v>
      </c>
      <c r="AJ18" s="12">
        <f t="shared" si="11"/>
        <v>1.452731495843273E-3</v>
      </c>
      <c r="AK18" s="12">
        <f t="shared" si="11"/>
        <v>1.6130940765402622E-3</v>
      </c>
      <c r="AL18" s="12">
        <f t="shared" si="11"/>
        <v>1.583531408465864E-3</v>
      </c>
      <c r="AM18" s="12">
        <f t="shared" si="11"/>
        <v>4.1735706014145828E-3</v>
      </c>
      <c r="AN18" s="1"/>
      <c r="AO18" s="8" t="s">
        <v>36</v>
      </c>
      <c r="AP18" s="12">
        <f t="shared" si="12"/>
        <v>4.2587466621649269E-3</v>
      </c>
      <c r="AQ18" s="12">
        <f t="shared" si="12"/>
        <v>5.4011844302429323E-3</v>
      </c>
      <c r="AR18" s="12">
        <f t="shared" si="12"/>
        <v>2.9512778617513122E-3</v>
      </c>
      <c r="AS18" s="12">
        <f t="shared" si="12"/>
        <v>9.0886749426671749E-3</v>
      </c>
    </row>
    <row r="19" spans="2:45" x14ac:dyDescent="0.45">
      <c r="B19" s="1">
        <v>34.655171420000002</v>
      </c>
      <c r="C19" s="1">
        <v>67.748485479999999</v>
      </c>
      <c r="D19" s="1">
        <v>26.907021790000002</v>
      </c>
      <c r="E19" s="1">
        <v>47.513060109999998</v>
      </c>
      <c r="F19" s="1"/>
      <c r="G19" s="1"/>
      <c r="H19" s="1">
        <v>34.655171420000002</v>
      </c>
      <c r="I19" s="1">
        <v>67.748485479999999</v>
      </c>
      <c r="J19" s="1">
        <v>26.907021790000002</v>
      </c>
      <c r="K19" s="1">
        <v>47.513060109999998</v>
      </c>
      <c r="L19" s="1"/>
      <c r="M19" s="1"/>
      <c r="N19" s="1">
        <v>34.6400570206699</v>
      </c>
      <c r="O19" s="1">
        <v>67.731367731367698</v>
      </c>
      <c r="P19" s="1">
        <v>26.870990734141099</v>
      </c>
      <c r="Q19" s="1">
        <v>47.174447174447103</v>
      </c>
      <c r="R19" s="1"/>
      <c r="S19" s="1"/>
      <c r="T19" s="1">
        <v>34.835752482811301</v>
      </c>
      <c r="U19" s="1">
        <v>67.598253275109101</v>
      </c>
      <c r="V19" s="1">
        <v>27.1199388846447</v>
      </c>
      <c r="W19" s="1">
        <v>47.336244541484703</v>
      </c>
      <c r="Y19" s="1">
        <f t="shared" si="8"/>
        <v>1.5114399330101946E-2</v>
      </c>
      <c r="Z19" s="1">
        <f t="shared" si="6"/>
        <v>1.7117748632301755E-2</v>
      </c>
      <c r="AA19" s="1">
        <f t="shared" si="6"/>
        <v>3.6031055858902761E-2</v>
      </c>
      <c r="AB19" s="1">
        <f t="shared" si="6"/>
        <v>0.33861293555289507</v>
      </c>
      <c r="AC19" s="1"/>
      <c r="AD19" s="1">
        <f t="shared" si="9"/>
        <v>-0.18058106281129938</v>
      </c>
      <c r="AE19" s="1">
        <f t="shared" si="7"/>
        <v>0.15023220489089795</v>
      </c>
      <c r="AF19" s="1">
        <f t="shared" si="7"/>
        <v>-0.21291709464469832</v>
      </c>
      <c r="AG19" s="1">
        <f t="shared" si="7"/>
        <v>0.17681556851529479</v>
      </c>
      <c r="AI19" s="8" t="s">
        <v>35</v>
      </c>
      <c r="AJ19" s="12">
        <f t="shared" si="11"/>
        <v>5.0189537839337992E-4</v>
      </c>
      <c r="AK19" s="12">
        <f t="shared" si="11"/>
        <v>5.3518083635148829E-4</v>
      </c>
      <c r="AL19" s="12">
        <f t="shared" si="11"/>
        <v>5.064618664839737E-4</v>
      </c>
      <c r="AM19" s="12">
        <f t="shared" si="11"/>
        <v>5.6706341312331033E-4</v>
      </c>
      <c r="AN19" s="2"/>
      <c r="AO19" s="8" t="s">
        <v>35</v>
      </c>
      <c r="AP19" s="12">
        <f t="shared" si="12"/>
        <v>2.0596620802885556E-3</v>
      </c>
      <c r="AQ19" s="12">
        <f t="shared" si="12"/>
        <v>2.9612168813543875E-3</v>
      </c>
      <c r="AR19" s="12">
        <f t="shared" si="12"/>
        <v>1.774058859269047E-3</v>
      </c>
      <c r="AS19" s="12">
        <f t="shared" si="12"/>
        <v>2.668557043773492E-3</v>
      </c>
    </row>
    <row r="20" spans="2:45" x14ac:dyDescent="0.45">
      <c r="B20" s="1">
        <v>35.427304530000001</v>
      </c>
      <c r="C20" s="1">
        <v>9.5039365700000005</v>
      </c>
      <c r="D20" s="1">
        <v>29.244775270000002</v>
      </c>
      <c r="E20" s="1">
        <v>6.4607758000000004</v>
      </c>
      <c r="F20" s="1"/>
      <c r="G20" s="1"/>
      <c r="H20" s="1">
        <v>35.427304530000001</v>
      </c>
      <c r="I20" s="1">
        <v>9.5039365700000005</v>
      </c>
      <c r="J20" s="1">
        <v>29.244775270000002</v>
      </c>
      <c r="K20" s="1">
        <v>6.4607758000000004</v>
      </c>
      <c r="L20" s="1"/>
      <c r="M20" s="1"/>
      <c r="N20" s="1">
        <v>35.424091233071998</v>
      </c>
      <c r="O20" s="1">
        <v>9.4185094185094105</v>
      </c>
      <c r="P20" s="1">
        <v>29.151817533856001</v>
      </c>
      <c r="Q20" s="1">
        <v>6.14250614250615</v>
      </c>
      <c r="R20" s="1"/>
      <c r="S20" s="1"/>
      <c r="T20" s="1">
        <v>35.294117647058798</v>
      </c>
      <c r="U20" s="1">
        <v>9.6069868995633101</v>
      </c>
      <c r="V20" s="1">
        <v>29.258976317799799</v>
      </c>
      <c r="W20" s="1">
        <v>5.8515283842794696</v>
      </c>
      <c r="Y20" s="1">
        <f t="shared" si="8"/>
        <v>3.2132969280027623E-3</v>
      </c>
      <c r="Z20" s="1">
        <f t="shared" si="6"/>
        <v>8.5427151490589992E-2</v>
      </c>
      <c r="AA20" s="1">
        <f t="shared" si="6"/>
        <v>9.2957736144001046E-2</v>
      </c>
      <c r="AB20" s="1">
        <f t="shared" si="6"/>
        <v>0.31826965749385039</v>
      </c>
      <c r="AC20" s="1"/>
      <c r="AD20" s="1">
        <f t="shared" si="9"/>
        <v>0.13318688294120307</v>
      </c>
      <c r="AE20" s="1">
        <f t="shared" si="7"/>
        <v>-0.10305032956330962</v>
      </c>
      <c r="AF20" s="1">
        <f t="shared" si="7"/>
        <v>-1.4201047799797806E-2</v>
      </c>
      <c r="AG20" s="1">
        <f t="shared" si="7"/>
        <v>0.60924741572053076</v>
      </c>
    </row>
    <row r="21" spans="2:45" x14ac:dyDescent="0.45">
      <c r="B21" s="1">
        <v>39.17994487</v>
      </c>
      <c r="C21" s="1">
        <v>15.30337383</v>
      </c>
      <c r="D21" s="1">
        <v>32.062373020000003</v>
      </c>
      <c r="E21" s="1">
        <v>9.1444861300000007</v>
      </c>
      <c r="F21" s="1"/>
      <c r="G21" s="1"/>
      <c r="H21" s="1">
        <v>39.17994487</v>
      </c>
      <c r="I21" s="1">
        <v>15.30337383</v>
      </c>
      <c r="J21" s="1">
        <v>32.062373020000003</v>
      </c>
      <c r="K21" s="1">
        <v>9.1444861300000007</v>
      </c>
      <c r="L21" s="1"/>
      <c r="M21" s="1"/>
      <c r="N21" s="1">
        <v>39.130434782608603</v>
      </c>
      <c r="O21" s="1">
        <v>15.3153153153152</v>
      </c>
      <c r="P21" s="1">
        <v>32.074126870990703</v>
      </c>
      <c r="Q21" s="1">
        <v>8.9271089271089092</v>
      </c>
      <c r="R21" s="1"/>
      <c r="S21" s="1"/>
      <c r="T21" s="1">
        <v>39.1902215431627</v>
      </c>
      <c r="U21" s="1">
        <v>15.3711790393012</v>
      </c>
      <c r="V21" s="1">
        <v>32.085561497326204</v>
      </c>
      <c r="W21" s="1">
        <v>9.0829694323144103</v>
      </c>
      <c r="Y21" s="1">
        <f t="shared" si="8"/>
        <v>4.9510087391396951E-2</v>
      </c>
      <c r="Z21" s="1">
        <f t="shared" si="6"/>
        <v>-1.1941485315199785E-2</v>
      </c>
      <c r="AA21" s="1">
        <f t="shared" si="6"/>
        <v>-1.1753850990700698E-2</v>
      </c>
      <c r="AB21" s="1">
        <f t="shared" si="6"/>
        <v>0.21737720289109141</v>
      </c>
      <c r="AC21" s="1"/>
      <c r="AD21" s="1">
        <f t="shared" si="9"/>
        <v>-1.0276673162699979E-2</v>
      </c>
      <c r="AE21" s="1">
        <f t="shared" si="7"/>
        <v>-6.7805209301200264E-2</v>
      </c>
      <c r="AF21" s="1">
        <f t="shared" si="7"/>
        <v>-2.3188477326200996E-2</v>
      </c>
      <c r="AG21" s="1">
        <f t="shared" si="7"/>
        <v>6.1516697685590316E-2</v>
      </c>
      <c r="AI21" s="10" t="s">
        <v>40</v>
      </c>
      <c r="AJ21" s="11">
        <f>N1</f>
        <v>51.202185792349653</v>
      </c>
      <c r="AK21" s="11">
        <f>O1</f>
        <v>48.282828282828241</v>
      </c>
      <c r="AL21" s="11">
        <f>P1</f>
        <v>49.836065573770448</v>
      </c>
      <c r="AM21" s="11">
        <f>Q1</f>
        <v>50.79989079989074</v>
      </c>
      <c r="AN21" s="4"/>
      <c r="AO21" s="10" t="s">
        <v>40</v>
      </c>
      <c r="AP21" s="11">
        <f>T1</f>
        <v>51.179017061369969</v>
      </c>
      <c r="AQ21" s="11">
        <f>U1</f>
        <v>48.366812227074192</v>
      </c>
      <c r="AR21" s="11">
        <f>V1</f>
        <v>49.80901451489683</v>
      </c>
      <c r="AS21" s="11">
        <f>W1</f>
        <v>50.692867540029063</v>
      </c>
    </row>
    <row r="22" spans="2:45" x14ac:dyDescent="0.45">
      <c r="B22" s="1">
        <v>45.118863169999997</v>
      </c>
      <c r="C22" s="1">
        <v>67.322203270000003</v>
      </c>
      <c r="D22" s="1">
        <v>35.922866290000002</v>
      </c>
      <c r="E22" s="1">
        <v>50.050536119999997</v>
      </c>
      <c r="F22" s="1"/>
      <c r="G22" s="1"/>
      <c r="H22" s="1">
        <v>45.118863169999997</v>
      </c>
      <c r="I22" s="1">
        <v>67.322203270000003</v>
      </c>
      <c r="J22" s="1">
        <v>35.922866290000002</v>
      </c>
      <c r="K22" s="1">
        <v>50.050536119999997</v>
      </c>
      <c r="L22" s="1"/>
      <c r="M22" s="1"/>
      <c r="N22" s="1">
        <v>45.046329294369201</v>
      </c>
      <c r="O22" s="1">
        <v>67.2399672399672</v>
      </c>
      <c r="P22" s="1">
        <v>35.851746258018501</v>
      </c>
      <c r="Q22" s="1">
        <v>49.795249795249703</v>
      </c>
      <c r="R22" s="1"/>
      <c r="S22" s="1"/>
      <c r="T22" s="1">
        <v>44.843391902215402</v>
      </c>
      <c r="U22" s="1">
        <v>67.598253275109101</v>
      </c>
      <c r="V22" s="1">
        <v>36.058059587471298</v>
      </c>
      <c r="W22" s="1">
        <v>50.043668122270702</v>
      </c>
      <c r="Y22" s="1">
        <f t="shared" si="8"/>
        <v>7.2533875630796274E-2</v>
      </c>
      <c r="Z22" s="1">
        <f t="shared" si="6"/>
        <v>8.2236030032802887E-2</v>
      </c>
      <c r="AA22" s="1">
        <f t="shared" si="6"/>
        <v>7.1120031981500631E-2</v>
      </c>
      <c r="AB22" s="1">
        <f t="shared" si="6"/>
        <v>0.25528632475029411</v>
      </c>
      <c r="AC22" s="1"/>
      <c r="AD22" s="1">
        <f t="shared" si="9"/>
        <v>0.27547126778459585</v>
      </c>
      <c r="AE22" s="1">
        <f t="shared" si="7"/>
        <v>-0.27605000510909861</v>
      </c>
      <c r="AF22" s="1">
        <f t="shared" si="7"/>
        <v>-0.1351932974712966</v>
      </c>
      <c r="AG22" s="1">
        <f t="shared" si="7"/>
        <v>6.8679977292944727E-3</v>
      </c>
      <c r="AI22" s="8" t="s">
        <v>38</v>
      </c>
      <c r="AJ22" s="12">
        <f t="shared" ref="AJ22:AM24" si="13">AJ11/AJ$21</f>
        <v>1.2077339803639494E-3</v>
      </c>
      <c r="AK22" s="12">
        <f t="shared" si="13"/>
        <v>1.0638140445615467E-3</v>
      </c>
      <c r="AL22" s="12">
        <f t="shared" si="13"/>
        <v>7.7326462511052895E-4</v>
      </c>
      <c r="AM22" s="12">
        <f t="shared" si="13"/>
        <v>5.9712851477868615E-3</v>
      </c>
      <c r="AN22" s="2"/>
      <c r="AO22" s="8" t="s">
        <v>38</v>
      </c>
      <c r="AP22" s="12">
        <f t="shared" ref="AP22:AS24" si="14">AP11/AP$21</f>
        <v>1.6609805250479973E-3</v>
      </c>
      <c r="AQ22" s="12">
        <f t="shared" si="14"/>
        <v>-6.7442926059267194E-4</v>
      </c>
      <c r="AR22" s="12">
        <f t="shared" si="14"/>
        <v>1.3167802269385066E-3</v>
      </c>
      <c r="AS22" s="12">
        <f t="shared" si="14"/>
        <v>8.0951012088678938E-3</v>
      </c>
    </row>
    <row r="23" spans="2:45" x14ac:dyDescent="0.45">
      <c r="B23" s="1">
        <v>45.90439207</v>
      </c>
      <c r="C23" s="1">
        <v>92.084759660000003</v>
      </c>
      <c r="D23" s="1">
        <v>38.976996649999997</v>
      </c>
      <c r="E23" s="1">
        <v>86.042368030000006</v>
      </c>
      <c r="F23" s="1"/>
      <c r="G23" s="1"/>
      <c r="H23" s="1">
        <v>45.90439207</v>
      </c>
      <c r="I23" s="1">
        <v>92.084759660000003</v>
      </c>
      <c r="J23" s="1">
        <v>38.976996649999997</v>
      </c>
      <c r="K23" s="1">
        <v>86.042368030000006</v>
      </c>
      <c r="L23" s="1"/>
      <c r="M23" s="1"/>
      <c r="N23" s="1">
        <v>45.8303635067711</v>
      </c>
      <c r="O23" s="1">
        <v>91.973791973791904</v>
      </c>
      <c r="P23" s="1">
        <v>38.916607270135401</v>
      </c>
      <c r="Q23" s="1">
        <v>85.749385749385695</v>
      </c>
      <c r="R23" s="1"/>
      <c r="S23" s="1"/>
      <c r="T23" s="1">
        <v>45.989304812834199</v>
      </c>
      <c r="U23" s="1">
        <v>91.790393013100399</v>
      </c>
      <c r="V23" s="1">
        <v>38.731856378915197</v>
      </c>
      <c r="W23" s="1">
        <v>85.676855895196496</v>
      </c>
      <c r="Y23" s="1">
        <f t="shared" si="8"/>
        <v>7.4028563228900168E-2</v>
      </c>
      <c r="Z23" s="1">
        <f t="shared" si="6"/>
        <v>0.11096768620809883</v>
      </c>
      <c r="AA23" s="1">
        <f t="shared" si="6"/>
        <v>6.0389379864595583E-2</v>
      </c>
      <c r="AB23" s="1">
        <f t="shared" si="6"/>
        <v>0.29298228061431075</v>
      </c>
      <c r="AC23" s="1"/>
      <c r="AD23" s="1">
        <f t="shared" si="9"/>
        <v>-8.4912742834198696E-2</v>
      </c>
      <c r="AE23" s="1">
        <f t="shared" si="7"/>
        <v>0.29436664689960423</v>
      </c>
      <c r="AF23" s="1">
        <f t="shared" si="7"/>
        <v>0.24514027108480008</v>
      </c>
      <c r="AG23" s="1">
        <f t="shared" si="7"/>
        <v>0.36551213480350953</v>
      </c>
      <c r="AI23" s="8" t="s">
        <v>36</v>
      </c>
      <c r="AJ23" s="12">
        <f t="shared" si="13"/>
        <v>2.8210669157366719E-3</v>
      </c>
      <c r="AK23" s="12">
        <f t="shared" si="13"/>
        <v>3.2424230702819373E-3</v>
      </c>
      <c r="AL23" s="12">
        <f t="shared" si="13"/>
        <v>3.1570978023475606E-3</v>
      </c>
      <c r="AM23" s="12">
        <f t="shared" si="13"/>
        <v>8.0878630635753436E-3</v>
      </c>
      <c r="AN23" s="1"/>
      <c r="AO23" s="8" t="s">
        <v>36</v>
      </c>
      <c r="AP23" s="12">
        <f t="shared" si="14"/>
        <v>8.2831329995037804E-3</v>
      </c>
      <c r="AQ23" s="12">
        <f t="shared" si="14"/>
        <v>1.0835528894907732E-2</v>
      </c>
      <c r="AR23" s="12">
        <f t="shared" si="14"/>
        <v>5.8935027239267034E-3</v>
      </c>
      <c r="AS23" s="12">
        <f t="shared" si="14"/>
        <v>1.7615734182221184E-2</v>
      </c>
    </row>
    <row r="24" spans="2:45" x14ac:dyDescent="0.45">
      <c r="B24" s="1">
        <v>50.232937120000003</v>
      </c>
      <c r="C24" s="1">
        <v>8.2459504100000007</v>
      </c>
      <c r="D24" s="1">
        <v>39.14350409</v>
      </c>
      <c r="E24" s="1">
        <v>86.845329070000005</v>
      </c>
      <c r="F24" s="1"/>
      <c r="G24" s="1"/>
      <c r="H24" s="1">
        <v>50.232937120000003</v>
      </c>
      <c r="I24" s="1">
        <v>8.2459504100000007</v>
      </c>
      <c r="J24" s="1">
        <v>39.14350409</v>
      </c>
      <c r="K24" s="1">
        <v>86.845329070000005</v>
      </c>
      <c r="L24" s="1"/>
      <c r="M24" s="1"/>
      <c r="N24" s="1">
        <v>50.106913756236601</v>
      </c>
      <c r="O24" s="1">
        <v>8.1900081900081805</v>
      </c>
      <c r="P24" s="1">
        <v>39.201710620099703</v>
      </c>
      <c r="Q24" s="1">
        <v>86.650286650286603</v>
      </c>
      <c r="R24" s="1"/>
      <c r="S24" s="1"/>
      <c r="T24" s="1">
        <v>49.809014514896802</v>
      </c>
      <c r="U24" s="1">
        <v>8.2969432314410394</v>
      </c>
      <c r="V24" s="1">
        <v>39.2666157372039</v>
      </c>
      <c r="W24" s="1">
        <v>86.375545851528301</v>
      </c>
      <c r="Y24" s="1">
        <f t="shared" si="8"/>
        <v>0.12602336376340162</v>
      </c>
      <c r="Z24" s="1">
        <f t="shared" si="6"/>
        <v>5.5942219991820252E-2</v>
      </c>
      <c r="AA24" s="1">
        <f t="shared" si="6"/>
        <v>-5.8206530099703002E-2</v>
      </c>
      <c r="AB24" s="1">
        <f t="shared" si="6"/>
        <v>0.19504241971340264</v>
      </c>
      <c r="AC24" s="1"/>
      <c r="AD24" s="1">
        <f t="shared" si="9"/>
        <v>0.42392260510320057</v>
      </c>
      <c r="AE24" s="1">
        <f t="shared" si="7"/>
        <v>-5.0992821441038672E-2</v>
      </c>
      <c r="AF24" s="1">
        <f t="shared" si="7"/>
        <v>-0.12311164720389911</v>
      </c>
      <c r="AG24" s="1">
        <f t="shared" si="7"/>
        <v>0.46978321847170434</v>
      </c>
      <c r="AI24" s="8" t="s">
        <v>35</v>
      </c>
      <c r="AJ24" s="12">
        <f t="shared" si="13"/>
        <v>9.7463326925724869E-4</v>
      </c>
      <c r="AK24" s="12">
        <f t="shared" si="13"/>
        <v>1.075747977626112E-3</v>
      </c>
      <c r="AL24" s="12">
        <f t="shared" si="13"/>
        <v>1.009736615959181E-3</v>
      </c>
      <c r="AM24" s="12">
        <f t="shared" si="13"/>
        <v>1.0988986821381442E-3</v>
      </c>
      <c r="AN24" s="2"/>
      <c r="AO24" s="8" t="s">
        <v>35</v>
      </c>
      <c r="AP24" s="12">
        <f t="shared" si="14"/>
        <v>4.0059802327833431E-3</v>
      </c>
      <c r="AQ24" s="12">
        <f t="shared" si="14"/>
        <v>5.9406138591273508E-3</v>
      </c>
      <c r="AR24" s="12">
        <f t="shared" si="14"/>
        <v>3.5426758201967798E-3</v>
      </c>
      <c r="AS24" s="12">
        <f t="shared" si="14"/>
        <v>5.1722161733966255E-3</v>
      </c>
    </row>
    <row r="25" spans="2:45" x14ac:dyDescent="0.45">
      <c r="B25" s="1">
        <v>52.973726739999996</v>
      </c>
      <c r="C25" s="1">
        <v>50.163104519999997</v>
      </c>
      <c r="D25" s="1">
        <v>44.447013490000003</v>
      </c>
      <c r="E25" s="1">
        <v>95.993755579999998</v>
      </c>
      <c r="F25" s="1"/>
      <c r="G25" s="1"/>
      <c r="H25" s="1">
        <v>52.973726739999996</v>
      </c>
      <c r="I25" s="1">
        <v>50.163104519999997</v>
      </c>
      <c r="J25" s="1">
        <v>44.447013490000003</v>
      </c>
      <c r="K25" s="1">
        <v>95.993755579999998</v>
      </c>
      <c r="L25" s="1"/>
      <c r="M25" s="1"/>
      <c r="N25" s="1">
        <v>52.886671418389099</v>
      </c>
      <c r="O25" s="1">
        <v>50.204750204750198</v>
      </c>
      <c r="P25" s="1">
        <v>44.404846756949397</v>
      </c>
      <c r="Q25" s="1">
        <v>95.659295659295594</v>
      </c>
      <c r="R25" s="1"/>
      <c r="S25" s="1"/>
      <c r="T25" s="1">
        <v>52.711993888464399</v>
      </c>
      <c r="U25" s="1">
        <v>50.567685589519598</v>
      </c>
      <c r="V25" s="1">
        <v>44.232238349885399</v>
      </c>
      <c r="W25" s="1">
        <v>95.283842794759806</v>
      </c>
      <c r="Y25" s="1">
        <f t="shared" si="8"/>
        <v>8.7055321610897352E-2</v>
      </c>
      <c r="Z25" s="1">
        <f t="shared" si="6"/>
        <v>-4.1645684750200473E-2</v>
      </c>
      <c r="AA25" s="1">
        <f t="shared" si="6"/>
        <v>4.2166733050606808E-2</v>
      </c>
      <c r="AB25" s="1">
        <f t="shared" si="6"/>
        <v>0.33445992070440411</v>
      </c>
      <c r="AC25" s="1"/>
      <c r="AD25" s="1">
        <f t="shared" si="9"/>
        <v>0.26173285153559789</v>
      </c>
      <c r="AE25" s="1">
        <f t="shared" si="7"/>
        <v>-0.40458106951960104</v>
      </c>
      <c r="AF25" s="1">
        <f t="shared" si="7"/>
        <v>0.21477514011460386</v>
      </c>
      <c r="AG25" s="1">
        <f t="shared" si="7"/>
        <v>0.70991278524019208</v>
      </c>
    </row>
    <row r="26" spans="2:45" x14ac:dyDescent="0.45">
      <c r="B26" s="1">
        <v>58.012670819999997</v>
      </c>
      <c r="C26" s="1">
        <v>7.7728632400000004</v>
      </c>
      <c r="D26" s="1">
        <v>51.38416505</v>
      </c>
      <c r="E26" s="1">
        <v>90.325306490000003</v>
      </c>
      <c r="F26" s="1"/>
      <c r="G26" s="1"/>
      <c r="H26" s="1">
        <v>58.012670819999997</v>
      </c>
      <c r="I26" s="1">
        <v>7.7728632400000004</v>
      </c>
      <c r="J26" s="1">
        <v>51.38416505</v>
      </c>
      <c r="K26" s="1">
        <v>90.325306490000003</v>
      </c>
      <c r="L26" s="1"/>
      <c r="M26" s="1"/>
      <c r="N26" s="1">
        <v>58.018531717747599</v>
      </c>
      <c r="O26" s="1">
        <v>7.7805077805077696</v>
      </c>
      <c r="P26" s="1">
        <v>51.318602993585102</v>
      </c>
      <c r="Q26" s="1">
        <v>90.008190008189999</v>
      </c>
      <c r="R26" s="1"/>
      <c r="S26" s="1"/>
      <c r="T26" s="1">
        <v>57.601222307104599</v>
      </c>
      <c r="U26" s="1">
        <v>8.2969432314410394</v>
      </c>
      <c r="V26" s="1">
        <v>51.566080977845601</v>
      </c>
      <c r="W26" s="1">
        <v>89.432314410480302</v>
      </c>
      <c r="Y26" s="1">
        <f t="shared" si="8"/>
        <v>-5.860897747602678E-3</v>
      </c>
      <c r="Z26" s="1">
        <f t="shared" si="6"/>
        <v>-7.644540507769193E-3</v>
      </c>
      <c r="AA26" s="1">
        <f t="shared" si="6"/>
        <v>6.556205641489754E-2</v>
      </c>
      <c r="AB26" s="1">
        <f t="shared" si="6"/>
        <v>0.31711648181000385</v>
      </c>
      <c r="AC26" s="1"/>
      <c r="AD26" s="1">
        <f t="shared" si="9"/>
        <v>0.4114485128953973</v>
      </c>
      <c r="AE26" s="1">
        <f t="shared" si="7"/>
        <v>-0.52407999144103901</v>
      </c>
      <c r="AF26" s="1">
        <f t="shared" si="7"/>
        <v>-0.18191592784560129</v>
      </c>
      <c r="AG26" s="1">
        <f t="shared" si="7"/>
        <v>0.89299207951970061</v>
      </c>
    </row>
    <row r="27" spans="2:45" x14ac:dyDescent="0.45">
      <c r="B27" s="1">
        <v>62.685176329999997</v>
      </c>
      <c r="C27" s="1">
        <v>40.44524105</v>
      </c>
      <c r="D27" s="1">
        <v>60.009982839999999</v>
      </c>
      <c r="E27" s="1">
        <v>5.7628103299999998</v>
      </c>
      <c r="F27" s="1"/>
      <c r="G27" s="1"/>
      <c r="H27" s="1">
        <v>62.685176329999997</v>
      </c>
      <c r="I27" s="1">
        <v>40.44524105</v>
      </c>
      <c r="J27" s="1">
        <v>60.009982839999999</v>
      </c>
      <c r="K27" s="1">
        <v>5.7628103299999998</v>
      </c>
      <c r="L27" s="1"/>
      <c r="M27" s="1"/>
      <c r="N27" s="1">
        <v>62.651461154668503</v>
      </c>
      <c r="O27" s="1">
        <v>40.294840294840199</v>
      </c>
      <c r="P27" s="1">
        <v>60.014255167498199</v>
      </c>
      <c r="Q27" s="1">
        <v>5.4873054873054903</v>
      </c>
      <c r="R27" s="1"/>
      <c r="S27" s="1"/>
      <c r="T27" s="1">
        <v>62.719633307868598</v>
      </c>
      <c r="U27" s="1">
        <v>40.786026200873302</v>
      </c>
      <c r="V27" s="1">
        <v>59.893048128342201</v>
      </c>
      <c r="W27" s="1">
        <v>5.5895196506550198</v>
      </c>
      <c r="Y27" s="1">
        <f t="shared" si="8"/>
        <v>3.3715175331494152E-2</v>
      </c>
      <c r="Z27" s="1">
        <f t="shared" si="6"/>
        <v>0.15040075515980078</v>
      </c>
      <c r="AA27" s="1">
        <f t="shared" si="6"/>
        <v>-4.2723274981995019E-3</v>
      </c>
      <c r="AB27" s="1">
        <f t="shared" si="6"/>
        <v>0.27550484269450948</v>
      </c>
      <c r="AC27" s="1"/>
      <c r="AD27" s="1">
        <f t="shared" si="9"/>
        <v>-3.4456977868600802E-2</v>
      </c>
      <c r="AE27" s="1">
        <f t="shared" si="7"/>
        <v>-0.34078515087330175</v>
      </c>
      <c r="AF27" s="1">
        <f t="shared" si="7"/>
        <v>0.11693471165779812</v>
      </c>
      <c r="AG27" s="1">
        <f t="shared" si="7"/>
        <v>0.17329067934497999</v>
      </c>
    </row>
    <row r="28" spans="2:45" x14ac:dyDescent="0.45">
      <c r="B28" s="1">
        <v>63.242376</v>
      </c>
      <c r="C28" s="1">
        <v>9.9903950600000009</v>
      </c>
      <c r="D28" s="1">
        <v>62.578584730000003</v>
      </c>
      <c r="E28" s="1">
        <v>94.226337439999995</v>
      </c>
      <c r="F28" s="1"/>
      <c r="G28" s="1"/>
      <c r="H28" s="1">
        <v>63.242376</v>
      </c>
      <c r="I28" s="1">
        <v>9.9903950600000009</v>
      </c>
      <c r="J28" s="1">
        <v>62.578584730000003</v>
      </c>
      <c r="K28" s="1">
        <v>94.226337439999995</v>
      </c>
      <c r="L28" s="1"/>
      <c r="M28" s="1"/>
      <c r="N28" s="1">
        <v>63.2216678545973</v>
      </c>
      <c r="O28" s="1">
        <v>9.9099099099098797</v>
      </c>
      <c r="P28" s="1">
        <v>62.508909479686302</v>
      </c>
      <c r="Q28" s="1">
        <v>93.857493857493793</v>
      </c>
      <c r="R28" s="1"/>
      <c r="S28" s="1"/>
      <c r="T28" s="1">
        <v>63.177998472116101</v>
      </c>
      <c r="U28" s="1">
        <v>10.2183406113536</v>
      </c>
      <c r="V28" s="1">
        <v>62.719633307868598</v>
      </c>
      <c r="W28" s="1">
        <v>93.886462882095998</v>
      </c>
      <c r="Y28" s="1">
        <f t="shared" si="8"/>
        <v>2.0708145402700495E-2</v>
      </c>
      <c r="Z28" s="1">
        <f t="shared" si="6"/>
        <v>8.0485150090121138E-2</v>
      </c>
      <c r="AA28" s="1">
        <f t="shared" si="6"/>
        <v>6.9675250313700587E-2</v>
      </c>
      <c r="AB28" s="1">
        <f t="shared" si="6"/>
        <v>0.36884358250620153</v>
      </c>
      <c r="AC28" s="1"/>
      <c r="AD28" s="1">
        <f t="shared" si="9"/>
        <v>6.4377527883898722E-2</v>
      </c>
      <c r="AE28" s="1">
        <f t="shared" si="7"/>
        <v>-0.22794555135359928</v>
      </c>
      <c r="AF28" s="1">
        <f t="shared" si="7"/>
        <v>-0.14104857786859526</v>
      </c>
      <c r="AG28" s="1">
        <f t="shared" si="7"/>
        <v>0.33987455790399679</v>
      </c>
      <c r="AJ28" s="1"/>
      <c r="AK28" s="1"/>
      <c r="AL28" s="1"/>
      <c r="AM28" s="1"/>
      <c r="AN28" s="1"/>
      <c r="AP28" s="1"/>
      <c r="AQ28" s="1"/>
      <c r="AR28" s="1"/>
    </row>
    <row r="29" spans="2:45" x14ac:dyDescent="0.45">
      <c r="B29" s="1">
        <v>68.567099420000005</v>
      </c>
      <c r="C29" s="1">
        <v>86.439467100000002</v>
      </c>
      <c r="D29" s="1">
        <v>64.363807420000001</v>
      </c>
      <c r="E29" s="1">
        <v>36.969616909999999</v>
      </c>
      <c r="F29" s="1"/>
      <c r="G29" s="1"/>
      <c r="H29" s="1">
        <v>68.567099420000005</v>
      </c>
      <c r="I29" s="1">
        <v>86.439467100000002</v>
      </c>
      <c r="J29" s="1">
        <v>64.363807420000001</v>
      </c>
      <c r="K29" s="1">
        <v>36.969616909999999</v>
      </c>
      <c r="L29" s="1"/>
      <c r="M29" s="1"/>
      <c r="N29" s="1">
        <v>68.567355666428995</v>
      </c>
      <c r="O29" s="1">
        <v>86.404586404586396</v>
      </c>
      <c r="P29" s="1">
        <v>64.290805416963593</v>
      </c>
      <c r="Q29" s="1">
        <v>36.691236691236597</v>
      </c>
      <c r="R29" s="1"/>
      <c r="S29" s="1"/>
      <c r="T29" s="1">
        <v>68.220015278838801</v>
      </c>
      <c r="U29" s="1">
        <v>86.026200873362399</v>
      </c>
      <c r="V29" s="1">
        <v>64.400305576776105</v>
      </c>
      <c r="W29" s="1">
        <v>36.593886462881997</v>
      </c>
      <c r="Y29" s="1">
        <f t="shared" si="8"/>
        <v>-2.5624642898947059E-4</v>
      </c>
      <c r="Z29" s="1">
        <f t="shared" si="6"/>
        <v>3.4880695413605167E-2</v>
      </c>
      <c r="AA29" s="1">
        <f t="shared" si="6"/>
        <v>7.3002003036407359E-2</v>
      </c>
      <c r="AB29" s="1">
        <f t="shared" si="6"/>
        <v>0.27838021876340235</v>
      </c>
      <c r="AC29" s="1"/>
      <c r="AD29" s="1">
        <f t="shared" si="9"/>
        <v>0.34708414116120423</v>
      </c>
      <c r="AE29" s="1">
        <f t="shared" si="7"/>
        <v>0.41326622663760304</v>
      </c>
      <c r="AF29" s="1">
        <f t="shared" si="7"/>
        <v>-3.6498156776104906E-2</v>
      </c>
      <c r="AG29" s="1">
        <f t="shared" si="7"/>
        <v>0.37573044711800208</v>
      </c>
      <c r="AJ29" s="1"/>
      <c r="AK29" s="1"/>
      <c r="AL29" s="1"/>
      <c r="AM29" s="1"/>
      <c r="AN29" s="1"/>
      <c r="AP29" s="1"/>
      <c r="AQ29" s="1"/>
      <c r="AR29" s="1"/>
    </row>
    <row r="30" spans="2:45" x14ac:dyDescent="0.45">
      <c r="B30" s="1">
        <v>70.527367060000003</v>
      </c>
      <c r="C30" s="1">
        <v>9.8973420500000007</v>
      </c>
      <c r="D30" s="1">
        <v>71.157373160000006</v>
      </c>
      <c r="E30" s="1">
        <v>41.489078620000001</v>
      </c>
      <c r="F30" s="1"/>
      <c r="G30" s="1"/>
      <c r="H30" s="1">
        <v>70.527367060000003</v>
      </c>
      <c r="I30" s="1">
        <v>9.8973420500000007</v>
      </c>
      <c r="J30" s="1">
        <v>71.157373160000006</v>
      </c>
      <c r="K30" s="1">
        <v>41.489078620000001</v>
      </c>
      <c r="L30" s="1"/>
      <c r="M30" s="1"/>
      <c r="N30" s="1">
        <v>70.420527441197393</v>
      </c>
      <c r="O30" s="1">
        <v>9.9099099099098797</v>
      </c>
      <c r="P30" s="1">
        <v>71.062009978617198</v>
      </c>
      <c r="Q30" s="1">
        <v>41.1957411957411</v>
      </c>
      <c r="R30" s="1"/>
      <c r="S30" s="1"/>
      <c r="T30" s="1">
        <v>70.511841100076396</v>
      </c>
      <c r="U30" s="1">
        <v>10.305676855895101</v>
      </c>
      <c r="V30" s="1">
        <v>70.970206264323906</v>
      </c>
      <c r="W30" s="1">
        <v>41.222707423580701</v>
      </c>
      <c r="Y30" s="1">
        <f t="shared" si="8"/>
        <v>0.10683961880260995</v>
      </c>
      <c r="Z30" s="1">
        <f t="shared" si="6"/>
        <v>-1.2567859909879076E-2</v>
      </c>
      <c r="AA30" s="1">
        <f t="shared" si="6"/>
        <v>9.5363181382808193E-2</v>
      </c>
      <c r="AB30" s="1">
        <f t="shared" si="6"/>
        <v>0.29333742425890108</v>
      </c>
      <c r="AC30" s="1"/>
      <c r="AD30" s="1">
        <f t="shared" si="9"/>
        <v>1.5525959923607502E-2</v>
      </c>
      <c r="AE30" s="1">
        <f t="shared" si="7"/>
        <v>-0.40833480589509996</v>
      </c>
      <c r="AF30" s="1">
        <f t="shared" si="7"/>
        <v>0.1871668956760999</v>
      </c>
      <c r="AG30" s="1">
        <f t="shared" si="7"/>
        <v>0.26637119641929985</v>
      </c>
      <c r="AJ30" s="1"/>
      <c r="AK30" s="1"/>
      <c r="AL30" s="1"/>
      <c r="AM30" s="1"/>
      <c r="AN30" s="1"/>
      <c r="AP30" s="1"/>
      <c r="AQ30" s="1"/>
      <c r="AR30" s="1"/>
    </row>
    <row r="31" spans="2:45" x14ac:dyDescent="0.45">
      <c r="B31" s="1">
        <v>73.09919721</v>
      </c>
      <c r="C31" s="1">
        <v>75.544075890000002</v>
      </c>
      <c r="D31" s="1">
        <v>76.243410060000002</v>
      </c>
      <c r="E31" s="1">
        <v>14.96774946</v>
      </c>
      <c r="F31" s="1"/>
      <c r="G31" s="1"/>
      <c r="H31" s="1">
        <v>73.09919721</v>
      </c>
      <c r="I31" s="1">
        <v>75.544075890000002</v>
      </c>
      <c r="J31" s="1">
        <v>76.243410060000002</v>
      </c>
      <c r="K31" s="1">
        <v>14.96774946</v>
      </c>
      <c r="L31" s="1"/>
      <c r="M31" s="1"/>
      <c r="N31" s="1">
        <v>73.057733428367698</v>
      </c>
      <c r="O31" s="1">
        <v>75.511875511875502</v>
      </c>
      <c r="P31" s="1">
        <v>76.193870277975705</v>
      </c>
      <c r="Q31" s="1">
        <v>14.7420147420147</v>
      </c>
      <c r="R31" s="1"/>
      <c r="S31" s="1"/>
      <c r="T31" s="1">
        <v>73.262032085561401</v>
      </c>
      <c r="U31" s="1">
        <v>75.109170305676798</v>
      </c>
      <c r="V31" s="1">
        <v>76.012223071046606</v>
      </c>
      <c r="W31" s="1">
        <v>15.0218340611353</v>
      </c>
      <c r="Y31" s="1">
        <f t="shared" si="8"/>
        <v>4.1463781632302243E-2</v>
      </c>
      <c r="Z31" s="1">
        <f t="shared" si="6"/>
        <v>3.2200378124500162E-2</v>
      </c>
      <c r="AA31" s="1">
        <f t="shared" si="6"/>
        <v>4.9539782024297097E-2</v>
      </c>
      <c r="AB31" s="1">
        <f t="shared" si="6"/>
        <v>0.22573471798530065</v>
      </c>
      <c r="AC31" s="1"/>
      <c r="AD31" s="1">
        <f t="shared" si="9"/>
        <v>-0.1628348755614013</v>
      </c>
      <c r="AE31" s="1">
        <f t="shared" si="7"/>
        <v>0.4349055843232037</v>
      </c>
      <c r="AF31" s="1">
        <f t="shared" si="7"/>
        <v>0.23118698895339662</v>
      </c>
      <c r="AG31" s="1">
        <f t="shared" si="7"/>
        <v>-5.4084601135299337E-2</v>
      </c>
      <c r="AJ31" s="1"/>
      <c r="AK31" s="1"/>
      <c r="AL31" s="1"/>
      <c r="AM31" s="1"/>
      <c r="AN31" s="1"/>
      <c r="AP31" s="1"/>
      <c r="AQ31" s="1"/>
      <c r="AR31" s="1"/>
    </row>
    <row r="32" spans="2:45" x14ac:dyDescent="0.45">
      <c r="B32" s="1">
        <v>74.649008069999994</v>
      </c>
      <c r="C32" s="1">
        <v>45.648163019999998</v>
      </c>
      <c r="D32" s="1">
        <v>80.086028819999996</v>
      </c>
      <c r="E32" s="1">
        <v>80.646634509999998</v>
      </c>
      <c r="F32" s="1"/>
      <c r="G32" s="1"/>
      <c r="H32" s="1">
        <v>74.649008069999994</v>
      </c>
      <c r="I32" s="1">
        <v>45.648163019999998</v>
      </c>
      <c r="J32" s="1">
        <v>80.086028819999996</v>
      </c>
      <c r="K32" s="1">
        <v>80.646634509999998</v>
      </c>
      <c r="L32" s="1"/>
      <c r="M32" s="1"/>
      <c r="N32" s="1">
        <v>74.554526015680594</v>
      </c>
      <c r="O32" s="1">
        <v>45.536445536445498</v>
      </c>
      <c r="P32" s="1">
        <v>80.042765502494603</v>
      </c>
      <c r="Q32" s="1">
        <v>80.343980343980306</v>
      </c>
      <c r="R32" s="1"/>
      <c r="S32" s="1"/>
      <c r="T32" s="1">
        <v>74.407944996180206</v>
      </c>
      <c r="U32" s="1">
        <v>46.026200873362399</v>
      </c>
      <c r="V32" s="1">
        <v>79.9847211611917</v>
      </c>
      <c r="W32" s="1">
        <v>79.912663755458496</v>
      </c>
      <c r="Y32" s="1">
        <f t="shared" si="8"/>
        <v>9.4482054319399822E-2</v>
      </c>
      <c r="Z32" s="1">
        <f t="shared" si="6"/>
        <v>0.11171748355450006</v>
      </c>
      <c r="AA32" s="1">
        <f t="shared" si="6"/>
        <v>4.3263317505392251E-2</v>
      </c>
      <c r="AB32" s="1">
        <f t="shared" si="6"/>
        <v>0.30265416601969264</v>
      </c>
      <c r="AC32" s="1"/>
      <c r="AD32" s="1">
        <f t="shared" si="9"/>
        <v>0.24106307381978809</v>
      </c>
      <c r="AE32" s="1">
        <f t="shared" si="7"/>
        <v>-0.37803785336240026</v>
      </c>
      <c r="AF32" s="1">
        <f t="shared" si="7"/>
        <v>0.10130765880829529</v>
      </c>
      <c r="AG32" s="1">
        <f t="shared" si="7"/>
        <v>0.7339707545415024</v>
      </c>
      <c r="AJ32" s="1"/>
      <c r="AK32" s="1"/>
      <c r="AL32" s="1"/>
      <c r="AM32" s="1"/>
      <c r="AN32" s="1"/>
      <c r="AP32" s="1"/>
      <c r="AQ32" s="1"/>
      <c r="AR32" s="1"/>
    </row>
    <row r="33" spans="2:44" x14ac:dyDescent="0.45">
      <c r="B33" s="1">
        <v>75.305004940000003</v>
      </c>
      <c r="C33" s="1">
        <v>18.812156009999999</v>
      </c>
      <c r="D33" s="1">
        <v>86.466004900000001</v>
      </c>
      <c r="E33" s="1">
        <v>46.135918760000003</v>
      </c>
      <c r="F33" s="1"/>
      <c r="G33" s="1"/>
      <c r="H33" s="1">
        <v>75.305004940000003</v>
      </c>
      <c r="I33" s="1">
        <v>18.812156009999999</v>
      </c>
      <c r="J33" s="1">
        <v>86.466004900000001</v>
      </c>
      <c r="K33" s="1">
        <v>46.135918760000003</v>
      </c>
      <c r="L33" s="1"/>
      <c r="M33" s="1"/>
      <c r="N33" s="1">
        <v>75.196008553100398</v>
      </c>
      <c r="O33" s="1">
        <v>18.8370188370188</v>
      </c>
      <c r="P33" s="1">
        <v>86.457590876692805</v>
      </c>
      <c r="Q33" s="1">
        <v>45.782145782145697</v>
      </c>
      <c r="R33" s="1"/>
      <c r="S33" s="1"/>
      <c r="T33" s="1">
        <v>75.553857906799095</v>
      </c>
      <c r="U33" s="1">
        <v>19.301310043668099</v>
      </c>
      <c r="V33" s="1">
        <v>86.631016042780701</v>
      </c>
      <c r="W33" s="1">
        <v>45.414847161571998</v>
      </c>
      <c r="Y33" s="1">
        <f t="shared" si="8"/>
        <v>0.10899638689960511</v>
      </c>
      <c r="Z33" s="1">
        <f t="shared" si="6"/>
        <v>-2.4862827018800715E-2</v>
      </c>
      <c r="AA33" s="1">
        <f t="shared" si="6"/>
        <v>8.4140233071963166E-3</v>
      </c>
      <c r="AB33" s="1">
        <f t="shared" si="6"/>
        <v>0.35377297785430528</v>
      </c>
      <c r="AC33" s="1"/>
      <c r="AD33" s="1">
        <f t="shared" si="9"/>
        <v>-0.24885296679909175</v>
      </c>
      <c r="AE33" s="1">
        <f t="shared" si="7"/>
        <v>-0.4891540336681004</v>
      </c>
      <c r="AF33" s="1">
        <f t="shared" si="7"/>
        <v>-0.16501114278069906</v>
      </c>
      <c r="AG33" s="1">
        <f t="shared" si="7"/>
        <v>0.72107159842800428</v>
      </c>
      <c r="AJ33" s="1"/>
      <c r="AK33" s="1"/>
      <c r="AL33" s="1"/>
      <c r="AM33" s="1"/>
      <c r="AN33" s="1"/>
      <c r="AP33" s="1"/>
      <c r="AQ33" s="1"/>
      <c r="AR33" s="1"/>
    </row>
    <row r="34" spans="2:44" x14ac:dyDescent="0.45">
      <c r="B34" s="1">
        <v>83.516144100000005</v>
      </c>
      <c r="C34" s="1">
        <v>14.76994122</v>
      </c>
      <c r="D34" s="1">
        <v>87.039755880000001</v>
      </c>
      <c r="E34" s="1">
        <v>84.39159085</v>
      </c>
      <c r="F34" s="1"/>
      <c r="G34" s="1"/>
      <c r="H34" s="1">
        <v>83.516144100000005</v>
      </c>
      <c r="I34" s="1">
        <v>14.76994122</v>
      </c>
      <c r="J34" s="1">
        <v>87.039755880000001</v>
      </c>
      <c r="K34" s="1">
        <v>84.39159085</v>
      </c>
      <c r="L34" s="1"/>
      <c r="M34" s="1"/>
      <c r="N34" s="1">
        <v>83.535281539558</v>
      </c>
      <c r="O34" s="1">
        <v>14.7420147420147</v>
      </c>
      <c r="P34" s="1">
        <v>87.027797576621495</v>
      </c>
      <c r="Q34" s="1">
        <v>84.029484029483996</v>
      </c>
      <c r="R34" s="1"/>
      <c r="S34" s="1"/>
      <c r="T34" s="1">
        <v>83.269671504965601</v>
      </c>
      <c r="U34" s="1">
        <v>14.759825327510899</v>
      </c>
      <c r="V34" s="1">
        <v>87.165775401069496</v>
      </c>
      <c r="W34" s="1">
        <v>83.755458515283806</v>
      </c>
      <c r="Y34" s="1">
        <f t="shared" si="8"/>
        <v>-1.9137439557994185E-2</v>
      </c>
      <c r="Z34" s="1">
        <f t="shared" si="6"/>
        <v>2.7926477985300124E-2</v>
      </c>
      <c r="AA34" s="1">
        <f t="shared" si="6"/>
        <v>1.195830337850623E-2</v>
      </c>
      <c r="AB34" s="1">
        <f t="shared" si="6"/>
        <v>0.36210682051600429</v>
      </c>
      <c r="AC34" s="1"/>
      <c r="AD34" s="1">
        <f t="shared" si="9"/>
        <v>0.24647259503440466</v>
      </c>
      <c r="AE34" s="1">
        <f t="shared" si="7"/>
        <v>1.0115892489100275E-2</v>
      </c>
      <c r="AF34" s="1">
        <f t="shared" si="7"/>
        <v>-0.12601952106949454</v>
      </c>
      <c r="AG34" s="1">
        <f t="shared" si="7"/>
        <v>0.63613233471619424</v>
      </c>
      <c r="AJ34" s="1"/>
      <c r="AK34" s="1"/>
      <c r="AL34" s="1"/>
      <c r="AM34" s="1"/>
      <c r="AN34" s="1"/>
      <c r="AP34" s="1"/>
      <c r="AQ34" s="1"/>
      <c r="AR34" s="1"/>
    </row>
    <row r="35" spans="2:44" x14ac:dyDescent="0.45">
      <c r="B35" s="1">
        <v>84.433256999999998</v>
      </c>
      <c r="C35" s="1">
        <v>65.362389870000001</v>
      </c>
      <c r="D35" s="1">
        <v>88.552876400000002</v>
      </c>
      <c r="E35" s="1">
        <v>65.141990329999999</v>
      </c>
      <c r="F35" s="1"/>
      <c r="G35" s="1"/>
      <c r="H35" s="1">
        <v>84.433256999999998</v>
      </c>
      <c r="I35" s="1">
        <v>65.362389870000001</v>
      </c>
      <c r="J35" s="1">
        <v>88.552876400000002</v>
      </c>
      <c r="K35" s="1">
        <v>65.141990329999999</v>
      </c>
      <c r="L35" s="1"/>
      <c r="M35" s="1"/>
      <c r="N35" s="1">
        <v>84.319315751960005</v>
      </c>
      <c r="O35" s="1">
        <v>65.356265356265297</v>
      </c>
      <c r="P35" s="1">
        <v>88.453314326443305</v>
      </c>
      <c r="Q35" s="1">
        <v>64.864864864864799</v>
      </c>
      <c r="R35" s="1"/>
      <c r="S35" s="1"/>
      <c r="T35" s="1">
        <v>84.491978609625605</v>
      </c>
      <c r="U35" s="1">
        <v>65.065502183406096</v>
      </c>
      <c r="V35" s="1">
        <v>88.3116883116883</v>
      </c>
      <c r="W35" s="1">
        <v>64.628820960698604</v>
      </c>
      <c r="Y35" s="1">
        <f t="shared" si="8"/>
        <v>0.11394124803999262</v>
      </c>
      <c r="Z35" s="1">
        <f t="shared" si="6"/>
        <v>6.124513734704351E-3</v>
      </c>
      <c r="AA35" s="1">
        <f t="shared" si="6"/>
        <v>9.9562073556697328E-2</v>
      </c>
      <c r="AB35" s="1">
        <f t="shared" si="6"/>
        <v>0.27712546513519953</v>
      </c>
      <c r="AC35" s="1"/>
      <c r="AD35" s="1">
        <f t="shared" si="9"/>
        <v>-5.872160962560713E-2</v>
      </c>
      <c r="AE35" s="1">
        <f t="shared" si="7"/>
        <v>0.29688768659390519</v>
      </c>
      <c r="AF35" s="1">
        <f t="shared" si="7"/>
        <v>0.24118808831170213</v>
      </c>
      <c r="AG35" s="1">
        <f t="shared" si="7"/>
        <v>0.51316936930139434</v>
      </c>
      <c r="AJ35" s="1"/>
      <c r="AK35" s="1"/>
      <c r="AL35" s="1"/>
      <c r="AM35" s="1"/>
      <c r="AN35" s="1"/>
      <c r="AP35" s="1"/>
      <c r="AQ35" s="1"/>
      <c r="AR35" s="1"/>
    </row>
    <row r="36" spans="2:44" x14ac:dyDescent="0.45">
      <c r="B36" s="1">
        <v>92.083094310000007</v>
      </c>
      <c r="C36" s="1">
        <v>20.318370720000001</v>
      </c>
      <c r="D36" s="1">
        <v>90.065061180000001</v>
      </c>
      <c r="E36" s="1">
        <v>42.001526210000002</v>
      </c>
      <c r="F36" s="1"/>
      <c r="G36" s="1"/>
      <c r="H36" s="1">
        <v>92.083094310000007</v>
      </c>
      <c r="I36" s="1">
        <v>20.318370720000001</v>
      </c>
      <c r="J36" s="1">
        <v>90.065061180000001</v>
      </c>
      <c r="K36" s="1">
        <v>42.001526210000002</v>
      </c>
      <c r="L36" s="1"/>
      <c r="M36" s="1"/>
      <c r="N36" s="1">
        <v>92.088382038488902</v>
      </c>
      <c r="O36" s="1">
        <v>20.229320229320201</v>
      </c>
      <c r="P36" s="1">
        <v>90.092658588738402</v>
      </c>
      <c r="Q36" s="1">
        <v>41.769041769041699</v>
      </c>
      <c r="R36" s="1"/>
      <c r="S36" s="1"/>
      <c r="T36" s="1">
        <v>92.360580595874694</v>
      </c>
      <c r="U36" s="1">
        <v>20.5240174672489</v>
      </c>
      <c r="V36" s="1">
        <v>90.0687547746371</v>
      </c>
      <c r="W36" s="1">
        <v>41.746724890829597</v>
      </c>
      <c r="Y36" s="1">
        <f t="shared" si="8"/>
        <v>-5.2877284888950271E-3</v>
      </c>
      <c r="Z36" s="1">
        <f t="shared" si="6"/>
        <v>8.905049067979931E-2</v>
      </c>
      <c r="AA36" s="1">
        <f t="shared" si="6"/>
        <v>-2.7597408738401441E-2</v>
      </c>
      <c r="AB36" s="1">
        <f t="shared" si="6"/>
        <v>0.23248444095830223</v>
      </c>
      <c r="AC36" s="1"/>
      <c r="AD36" s="1">
        <f t="shared" si="9"/>
        <v>-0.27748628587468716</v>
      </c>
      <c r="AE36" s="1">
        <f t="shared" si="7"/>
        <v>-0.20564674724889898</v>
      </c>
      <c r="AF36" s="1">
        <f t="shared" si="7"/>
        <v>-3.6935946370988404E-3</v>
      </c>
      <c r="AG36" s="1">
        <f t="shared" si="7"/>
        <v>0.25480131917040438</v>
      </c>
      <c r="AJ36" s="1"/>
      <c r="AK36" s="1"/>
      <c r="AL36" s="1"/>
      <c r="AM36" s="1"/>
      <c r="AN36" s="1"/>
      <c r="AP36" s="1"/>
      <c r="AQ36" s="1"/>
      <c r="AR36" s="1"/>
    </row>
    <row r="37" spans="2:44" x14ac:dyDescent="0.45">
      <c r="B37" s="1">
        <v>94.165881420000005</v>
      </c>
      <c r="C37" s="1">
        <v>73.434012629999998</v>
      </c>
      <c r="D37" s="1">
        <v>92.379606499999994</v>
      </c>
      <c r="E37" s="1">
        <v>49.231494779999998</v>
      </c>
      <c r="F37" s="1"/>
      <c r="G37" s="1"/>
      <c r="H37" s="1">
        <v>94.165881420000005</v>
      </c>
      <c r="I37" s="1">
        <v>73.434012629999998</v>
      </c>
      <c r="J37" s="1">
        <v>92.379606499999994</v>
      </c>
      <c r="K37" s="1">
        <v>49.231494779999998</v>
      </c>
      <c r="L37" s="1"/>
      <c r="M37" s="1"/>
      <c r="N37" s="1">
        <v>94.084105488239402</v>
      </c>
      <c r="O37" s="1">
        <v>73.382473382473293</v>
      </c>
      <c r="P37" s="1">
        <v>92.373485388453304</v>
      </c>
      <c r="Q37" s="1">
        <v>48.976248976248897</v>
      </c>
      <c r="R37" s="1"/>
      <c r="S37" s="1"/>
      <c r="T37" s="1">
        <v>93.888464476699696</v>
      </c>
      <c r="U37" s="1">
        <v>73.275109170305598</v>
      </c>
      <c r="V37" s="1">
        <v>92.131398013750896</v>
      </c>
      <c r="W37" s="1">
        <v>48.733624454148398</v>
      </c>
      <c r="Y37" s="1">
        <f t="shared" si="8"/>
        <v>8.1775931760603271E-2</v>
      </c>
      <c r="Z37" s="1">
        <f t="shared" si="6"/>
        <v>5.1539247526704912E-2</v>
      </c>
      <c r="AA37" s="1">
        <f t="shared" si="6"/>
        <v>6.1211115466903721E-3</v>
      </c>
      <c r="AB37" s="1">
        <f t="shared" si="6"/>
        <v>0.25524580375110162</v>
      </c>
      <c r="AC37" s="1"/>
      <c r="AD37" s="1">
        <f t="shared" si="9"/>
        <v>0.27741694330030953</v>
      </c>
      <c r="AE37" s="1">
        <f t="shared" si="7"/>
        <v>0.15890345969440034</v>
      </c>
      <c r="AF37" s="1">
        <f t="shared" si="7"/>
        <v>0.24820848624909786</v>
      </c>
      <c r="AG37" s="1">
        <f t="shared" si="7"/>
        <v>0.49787032585160063</v>
      </c>
      <c r="AJ37" s="1"/>
      <c r="AK37" s="1"/>
      <c r="AL37" s="1"/>
      <c r="AM37" s="1"/>
      <c r="AN37" s="1"/>
      <c r="AP37" s="1"/>
      <c r="AQ37" s="1"/>
      <c r="AR37" s="1"/>
    </row>
    <row r="38" spans="2:44" x14ac:dyDescent="0.45">
      <c r="B38" s="1">
        <v>97.159661510000007</v>
      </c>
      <c r="C38" s="1">
        <v>77.470230670000007</v>
      </c>
      <c r="D38" s="1">
        <v>92.488305139999994</v>
      </c>
      <c r="E38" s="1">
        <v>82.208195919999994</v>
      </c>
      <c r="F38" s="1"/>
      <c r="G38" s="1"/>
      <c r="H38" s="1">
        <v>97.159661510000007</v>
      </c>
      <c r="I38" s="1">
        <v>77.470230670000007</v>
      </c>
      <c r="J38" s="1">
        <v>92.488305139999994</v>
      </c>
      <c r="K38" s="1">
        <v>82.208195919999994</v>
      </c>
      <c r="L38" s="1"/>
      <c r="M38" s="1"/>
      <c r="N38" s="1">
        <v>97.148966500356295</v>
      </c>
      <c r="O38" s="1">
        <v>77.313677313677303</v>
      </c>
      <c r="P38" s="1">
        <v>92.516037063435405</v>
      </c>
      <c r="Q38" s="1">
        <v>81.900081900081901</v>
      </c>
      <c r="R38" s="1"/>
      <c r="S38" s="1"/>
      <c r="T38" s="1">
        <v>97.173414820473596</v>
      </c>
      <c r="U38" s="1">
        <v>77.117903930131007</v>
      </c>
      <c r="V38" s="1">
        <v>92.207792207792096</v>
      </c>
      <c r="W38" s="1">
        <v>81.921397379912605</v>
      </c>
      <c r="Y38" s="1">
        <f t="shared" si="8"/>
        <v>1.0695009643711728E-2</v>
      </c>
      <c r="Z38" s="1">
        <f t="shared" si="6"/>
        <v>0.15655335632270351</v>
      </c>
      <c r="AA38" s="1">
        <f t="shared" si="6"/>
        <v>-2.7731923435410977E-2</v>
      </c>
      <c r="AB38" s="1">
        <f t="shared" si="6"/>
        <v>0.30811401991809362</v>
      </c>
      <c r="AC38" s="1"/>
      <c r="AD38" s="1">
        <f t="shared" si="9"/>
        <v>-1.3753310473589409E-2</v>
      </c>
      <c r="AE38" s="1">
        <f t="shared" si="7"/>
        <v>0.35232673986899954</v>
      </c>
      <c r="AF38" s="1">
        <f t="shared" si="7"/>
        <v>0.2805129322078983</v>
      </c>
      <c r="AG38" s="1">
        <f t="shared" si="7"/>
        <v>0.28679854008738914</v>
      </c>
      <c r="AJ38" s="1"/>
      <c r="AK38" s="1"/>
      <c r="AL38" s="1"/>
      <c r="AM38" s="1"/>
      <c r="AN38" s="1"/>
      <c r="AP38" s="1"/>
      <c r="AQ38" s="1"/>
      <c r="AR38" s="1"/>
    </row>
    <row r="39" spans="2:44" x14ac:dyDescent="0.45">
      <c r="B39" s="1">
        <v>99.480866559999996</v>
      </c>
      <c r="C39" s="1">
        <v>32.573496310000003</v>
      </c>
      <c r="D39" s="1">
        <v>99.320035300000001</v>
      </c>
      <c r="E39" s="1">
        <v>22.270388629999999</v>
      </c>
      <c r="F39" s="1"/>
      <c r="G39" s="1"/>
      <c r="H39" s="1">
        <v>99.480866559999996</v>
      </c>
      <c r="I39" s="1">
        <v>32.573496310000003</v>
      </c>
      <c r="J39" s="1">
        <v>99.320035300000001</v>
      </c>
      <c r="K39" s="1">
        <v>22.270388629999999</v>
      </c>
      <c r="L39" s="1"/>
      <c r="M39" s="1"/>
      <c r="N39" s="1">
        <v>99.429793300071196</v>
      </c>
      <c r="O39" s="1">
        <v>32.514332514332501</v>
      </c>
      <c r="P39" s="1">
        <v>99.358517462580096</v>
      </c>
      <c r="Q39" s="1">
        <v>21.949221949221901</v>
      </c>
      <c r="R39" s="1"/>
      <c r="S39" s="1"/>
      <c r="T39" s="1">
        <v>99.541634835752404</v>
      </c>
      <c r="U39" s="1">
        <v>32.489082969432303</v>
      </c>
      <c r="V39" s="1">
        <v>99.465240641711205</v>
      </c>
      <c r="W39" s="1">
        <v>22.008733624454099</v>
      </c>
      <c r="Y39" s="1">
        <f t="shared" si="8"/>
        <v>5.1073259928799075E-2</v>
      </c>
      <c r="Z39" s="1">
        <f t="shared" si="6"/>
        <v>5.9163795667501518E-2</v>
      </c>
      <c r="AA39" s="1">
        <f t="shared" si="6"/>
        <v>-3.8482162580095292E-2</v>
      </c>
      <c r="AB39" s="1">
        <f t="shared" si="6"/>
        <v>0.32116668077809862</v>
      </c>
      <c r="AC39" s="1"/>
      <c r="AD39" s="1">
        <f t="shared" si="9"/>
        <v>-6.076827575240884E-2</v>
      </c>
      <c r="AE39" s="1">
        <f t="shared" si="7"/>
        <v>8.441334056769989E-2</v>
      </c>
      <c r="AF39" s="1">
        <f t="shared" si="7"/>
        <v>-0.14520534171120403</v>
      </c>
      <c r="AG39" s="1">
        <f t="shared" si="7"/>
        <v>0.26165500554590082</v>
      </c>
      <c r="AJ39" s="1"/>
      <c r="AK39" s="1"/>
      <c r="AL39" s="1"/>
      <c r="AM39" s="1"/>
      <c r="AN39" s="1"/>
      <c r="AP39" s="1"/>
      <c r="AQ39" s="1"/>
      <c r="AR39" s="1"/>
    </row>
  </sheetData>
  <phoneticPr fontId="2" type="noConversion"/>
  <pageMargins left="0.25" right="0.25" top="0.75" bottom="0.75" header="0.3" footer="0.3"/>
  <pageSetup paperSize="9" scale="3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0029A-256D-4787-817D-2FB333896997}">
  <sheetPr>
    <tabColor theme="4"/>
    <pageSetUpPr fitToPage="1"/>
  </sheetPr>
  <dimension ref="A1:AS39"/>
  <sheetViews>
    <sheetView topLeftCell="O4" zoomScale="85" zoomScaleNormal="85" workbookViewId="0">
      <selection activeCell="AJ11" sqref="AJ11"/>
    </sheetView>
  </sheetViews>
  <sheetFormatPr defaultRowHeight="17" x14ac:dyDescent="0.45"/>
  <cols>
    <col min="2" max="23" width="5.75" customWidth="1"/>
    <col min="25" max="33" width="5.75" customWidth="1"/>
    <col min="35" max="35" width="10.83203125" bestFit="1" customWidth="1"/>
    <col min="36" max="39" width="6.58203125" customWidth="1"/>
    <col min="40" max="40" width="6.5" customWidth="1"/>
    <col min="41" max="41" width="10.83203125" bestFit="1" customWidth="1"/>
    <col min="42" max="45" width="6.58203125" customWidth="1"/>
    <col min="46" max="46" width="4.33203125" customWidth="1"/>
  </cols>
  <sheetData>
    <row r="1" spans="1:45" x14ac:dyDescent="0.45">
      <c r="A1" t="s">
        <v>7</v>
      </c>
      <c r="B1">
        <f>AVERAGE(B10:B39)</f>
        <v>51.264024411999998</v>
      </c>
      <c r="C1">
        <f t="shared" ref="C1:E1" si="0">AVERAGE(C10:C39)</f>
        <v>48.334192233666691</v>
      </c>
      <c r="D1">
        <f t="shared" si="0"/>
        <v>49.874602040333336</v>
      </c>
      <c r="E1">
        <f t="shared" si="0"/>
        <v>51.103231433333349</v>
      </c>
      <c r="H1">
        <f>AVERAGE(H10:H39)</f>
        <v>11.759342597108111</v>
      </c>
      <c r="I1">
        <f t="shared" ref="I1:K1" si="1">AVERAGE(I10:I39)</f>
        <v>4.6216363437140044</v>
      </c>
      <c r="J1">
        <f t="shared" si="1"/>
        <v>3.5875108094372519</v>
      </c>
      <c r="K1">
        <f t="shared" si="1"/>
        <v>3.7639040572313713</v>
      </c>
      <c r="N1">
        <f>AVERAGE(N10:N39)</f>
        <v>51.202185792349653</v>
      </c>
      <c r="O1">
        <f t="shared" ref="O1:Q1" si="2">AVERAGE(O10:O39)</f>
        <v>48.282828282828241</v>
      </c>
      <c r="P1">
        <f t="shared" si="2"/>
        <v>49.836065573770448</v>
      </c>
      <c r="Q1">
        <f t="shared" si="2"/>
        <v>50.79989079989074</v>
      </c>
      <c r="T1">
        <f>AVERAGE(T10:T39)</f>
        <v>12.544293391135358</v>
      </c>
      <c r="U1">
        <f t="shared" ref="U1:W1" si="3">AVERAGE(U10:U39)</f>
        <v>4.6537156641644266</v>
      </c>
      <c r="V1">
        <f t="shared" si="3"/>
        <v>3.6057419914944973</v>
      </c>
      <c r="W1">
        <f t="shared" si="3"/>
        <v>3.8564390310101624</v>
      </c>
      <c r="Y1">
        <f>AVERAGE(Y10:Y39)</f>
        <v>6.1838619650328906E-2</v>
      </c>
      <c r="Z1">
        <f t="shared" ref="Z1:AB1" si="4">AVERAGE(Z10:Z39)</f>
        <v>5.1363950838426146E-2</v>
      </c>
      <c r="AA1">
        <f t="shared" si="4"/>
        <v>3.8536466562885341E-2</v>
      </c>
      <c r="AB1">
        <f t="shared" si="4"/>
        <v>0.303340633442582</v>
      </c>
      <c r="AD1">
        <f>AVERAGE(AD10:AD39)</f>
        <v>-0.78495079402724577</v>
      </c>
      <c r="AE1">
        <f t="shared" ref="AE1:AG1" si="5">AVERAGE(AE10:AE39)</f>
        <v>-3.2079320450422284E-2</v>
      </c>
      <c r="AF1">
        <f t="shared" si="5"/>
        <v>-1.8231182057245419E-2</v>
      </c>
      <c r="AG1">
        <f t="shared" si="5"/>
        <v>-9.2534973778789748E-2</v>
      </c>
    </row>
    <row r="2" spans="1:45" x14ac:dyDescent="0.45">
      <c r="A2" t="s">
        <v>13</v>
      </c>
      <c r="B2">
        <f>MAX(B10:B39)</f>
        <v>99.480866559999996</v>
      </c>
      <c r="C2">
        <f>MAX(C10:C39)</f>
        <v>97.130704170000001</v>
      </c>
      <c r="D2">
        <f>MAX(D10:D39)</f>
        <v>99.320035300000001</v>
      </c>
      <c r="E2">
        <f>MAX(E10:E39)</f>
        <v>98.801536670000004</v>
      </c>
      <c r="H2">
        <f>MAX(H10:H39)</f>
        <v>161.47495356343654</v>
      </c>
      <c r="I2">
        <f>MAX(I10:I39)</f>
        <v>25.873350214607669</v>
      </c>
      <c r="J2">
        <f>MAX(J10:J39)</f>
        <v>19.932158228559892</v>
      </c>
      <c r="K2">
        <f>MAX(K10:K39)</f>
        <v>17.352644677445078</v>
      </c>
      <c r="N2">
        <f>MAX(N10:N39)</f>
        <v>99.429793300071196</v>
      </c>
      <c r="O2">
        <f>MAX(O10:O39)</f>
        <v>97.051597051597</v>
      </c>
      <c r="P2">
        <f>MAX(P10:P39)</f>
        <v>99.358517462580096</v>
      </c>
      <c r="Q2">
        <f>MAX(Q10:Q39)</f>
        <v>98.443898443898405</v>
      </c>
      <c r="T2">
        <f>MAX(T10:T39)</f>
        <v>175.37500000000099</v>
      </c>
      <c r="U2">
        <f>MAX(U10:U39)</f>
        <v>26.543478260869758</v>
      </c>
      <c r="V2">
        <f>MAX(V10:V39)</f>
        <v>20.3333333333334</v>
      </c>
      <c r="W2">
        <f>MAX(W10:W39)</f>
        <v>18.223880597014915</v>
      </c>
      <c r="Y2">
        <f>MAX(Y10:Y39)</f>
        <v>0.14444479235219987</v>
      </c>
      <c r="Z2">
        <f>MAX(Z10:Z39)</f>
        <v>0.15655335632270351</v>
      </c>
      <c r="AA2">
        <f>MAX(AA10:AA39)</f>
        <v>0.15733733310059961</v>
      </c>
      <c r="AB2">
        <f>MAX(AB10:AB39)</f>
        <v>0.41086256043409719</v>
      </c>
      <c r="AD2">
        <f>MAX(AD10:AD39)</f>
        <v>8.7347606444954096E-4</v>
      </c>
      <c r="AE2">
        <f>MAX(AE10:AE39)</f>
        <v>1.2813655542789348E-2</v>
      </c>
      <c r="AF2">
        <f>MAX(AF10:AF39)</f>
        <v>1.4891118033361295E-2</v>
      </c>
      <c r="AG2">
        <f>MAX(AG10:AG39)</f>
        <v>-2.5918663740169823E-3</v>
      </c>
    </row>
    <row r="3" spans="1:45" x14ac:dyDescent="0.45">
      <c r="A3" t="s">
        <v>33</v>
      </c>
      <c r="B3">
        <f>MIN(B10:B39)</f>
        <v>0.61929109000000004</v>
      </c>
      <c r="C3">
        <f>MIN(C10:C39)</f>
        <v>3.8649807300000001</v>
      </c>
      <c r="D3">
        <f>MIN(D10:D39)</f>
        <v>5.0170181700000001</v>
      </c>
      <c r="E3">
        <f>MIN(E10:E39)</f>
        <v>5.7628103299999998</v>
      </c>
      <c r="H3">
        <f>MIN(H10:H39)</f>
        <v>1.00521842498916</v>
      </c>
      <c r="I3">
        <f>MIN(I10:I39)</f>
        <v>1.0295405644849245</v>
      </c>
      <c r="J3">
        <f>MIN(J10:J39)</f>
        <v>1.0068461987346877</v>
      </c>
      <c r="K3">
        <f>MIN(K10:K39)</f>
        <v>1.0121300069856494</v>
      </c>
      <c r="N3">
        <f>MIN(N10:N39)</f>
        <v>0.57020669992872097</v>
      </c>
      <c r="O3">
        <f>MIN(O10:O39)</f>
        <v>3.7674037674037399</v>
      </c>
      <c r="P3">
        <f>MIN(P10:P39)</f>
        <v>4.91803278688523</v>
      </c>
      <c r="Q3">
        <f>MIN(Q10:Q39)</f>
        <v>5.4873054873054903</v>
      </c>
      <c r="T3">
        <f>MIN(T10:T39)</f>
        <v>1.0057347670250905</v>
      </c>
      <c r="U3">
        <f>MIN(U10:U39)</f>
        <v>1.0303797468354436</v>
      </c>
      <c r="V3">
        <f>MIN(V10:V39)</f>
        <v>1.0064562410329996</v>
      </c>
      <c r="W3">
        <f>MIN(W10:W39)</f>
        <v>1.0158069883527459</v>
      </c>
      <c r="Y3">
        <f>MIN(Y10:Y39)</f>
        <v>-1.9137439557994185E-2</v>
      </c>
      <c r="Z3">
        <f>MIN(Z10:Z39)</f>
        <v>-4.1645684750200473E-2</v>
      </c>
      <c r="AA3">
        <f>MIN(AA10:AA39)</f>
        <v>-5.8206530099703002E-2</v>
      </c>
      <c r="AB3">
        <f>MIN(AB10:AB39)</f>
        <v>0.19504241971340264</v>
      </c>
      <c r="AD3">
        <f>MIN(AD10:AD39)</f>
        <v>-13.900046436564452</v>
      </c>
      <c r="AE3">
        <f>MIN(AE10:AE39)</f>
        <v>-0.67012804626208933</v>
      </c>
      <c r="AF3">
        <f>MIN(AF10:AF39)</f>
        <v>-0.40117510477350748</v>
      </c>
      <c r="AG3">
        <f>MIN(AG10:AG39)</f>
        <v>-0.87123591956983759</v>
      </c>
    </row>
    <row r="4" spans="1:45" x14ac:dyDescent="0.45">
      <c r="A4" t="s">
        <v>34</v>
      </c>
      <c r="B4" cm="1">
        <f t="array" ref="B4">MAX(ABS(B10:B39))</f>
        <v>99.480866559999996</v>
      </c>
      <c r="C4" cm="1">
        <f t="array" ref="C4">MAX(ABS(C10:C39))</f>
        <v>97.130704170000001</v>
      </c>
      <c r="D4" cm="1">
        <f t="array" ref="D4">MAX(ABS(D10:D39))</f>
        <v>99.320035300000001</v>
      </c>
      <c r="E4" cm="1">
        <f t="array" ref="E4">MAX(ABS(E10:E39))</f>
        <v>98.801536670000004</v>
      </c>
      <c r="H4" cm="1">
        <f t="array" ref="H4">MAX(ABS(H10:H39))</f>
        <v>161.47495356343654</v>
      </c>
      <c r="I4" cm="1">
        <f t="array" ref="I4">MAX(ABS(I10:I39))</f>
        <v>25.873350214607669</v>
      </c>
      <c r="J4" cm="1">
        <f t="array" ref="J4">MAX(ABS(J10:J39))</f>
        <v>19.932158228559892</v>
      </c>
      <c r="K4" cm="1">
        <f t="array" ref="K4">MAX(ABS(K10:K39))</f>
        <v>17.352644677445078</v>
      </c>
      <c r="N4" cm="1">
        <f t="array" ref="N4">MAX(ABS(N10:N39))</f>
        <v>99.429793300071196</v>
      </c>
      <c r="O4" cm="1">
        <f t="array" ref="O4">MAX(ABS(O10:O39))</f>
        <v>97.051597051597</v>
      </c>
      <c r="P4" cm="1">
        <f t="array" ref="P4">MAX(ABS(P10:P39))</f>
        <v>99.358517462580096</v>
      </c>
      <c r="Q4" cm="1">
        <f t="array" ref="Q4">MAX(ABS(Q10:Q39))</f>
        <v>98.443898443898405</v>
      </c>
      <c r="T4" cm="1">
        <f t="array" ref="T4">MAX(ABS(T10:T39))</f>
        <v>175.37500000000099</v>
      </c>
      <c r="U4" cm="1">
        <f t="array" ref="U4">MAX(ABS(U10:U39))</f>
        <v>26.543478260869758</v>
      </c>
      <c r="V4" cm="1">
        <f t="array" ref="V4">MAX(ABS(V10:V39))</f>
        <v>20.3333333333334</v>
      </c>
      <c r="W4" cm="1">
        <f t="array" ref="W4">MAX(ABS(W10:W39))</f>
        <v>18.223880597014915</v>
      </c>
      <c r="Y4" cm="1">
        <f t="array" ref="Y4">MAX(ABS(Y10:Y39))</f>
        <v>0.14444479235219987</v>
      </c>
      <c r="Z4" cm="1">
        <f t="array" ref="Z4">MAX(ABS(Z10:Z39))</f>
        <v>0.15655335632270351</v>
      </c>
      <c r="AA4" cm="1">
        <f t="array" ref="AA4">MAX(ABS(AA10:AA39))</f>
        <v>0.15733733310059961</v>
      </c>
      <c r="AB4" cm="1">
        <f t="array" ref="AB4">MAX(ABS(AB10:AB39))</f>
        <v>0.41086256043409719</v>
      </c>
      <c r="AD4" cm="1">
        <f t="array" ref="AD4">MAX(ABS(AD10:AD39))</f>
        <v>13.900046436564452</v>
      </c>
      <c r="AE4" cm="1">
        <f t="array" ref="AE4">MAX(ABS(AE10:AE39))</f>
        <v>0.67012804626208933</v>
      </c>
      <c r="AF4" cm="1">
        <f t="array" ref="AF4">MAX(ABS(AF10:AF39))</f>
        <v>0.40117510477350748</v>
      </c>
      <c r="AG4" cm="1">
        <f t="array" ref="AG4">MAX(ABS(AG10:AG39))</f>
        <v>0.87123591956983759</v>
      </c>
    </row>
    <row r="5" spans="1:45" x14ac:dyDescent="0.45">
      <c r="AJ5" s="1"/>
    </row>
    <row r="6" spans="1:45" x14ac:dyDescent="0.45">
      <c r="Y6" t="s">
        <v>43</v>
      </c>
      <c r="AD6" t="s">
        <v>43</v>
      </c>
      <c r="AI6" s="5" t="s">
        <v>41</v>
      </c>
      <c r="AJ6" s="5"/>
      <c r="AK6" s="6"/>
      <c r="AL6" s="6"/>
      <c r="AM6" s="6"/>
      <c r="AN6" s="6"/>
      <c r="AO6" s="6"/>
      <c r="AP6" s="6"/>
      <c r="AQ6" s="6"/>
      <c r="AR6" s="6"/>
      <c r="AS6" s="6"/>
    </row>
    <row r="7" spans="1:45" x14ac:dyDescent="0.45">
      <c r="B7" t="s">
        <v>0</v>
      </c>
      <c r="C7" t="s">
        <v>0</v>
      </c>
      <c r="D7" t="s">
        <v>16</v>
      </c>
      <c r="N7" s="1" t="s">
        <v>0</v>
      </c>
      <c r="O7" s="1" t="s">
        <v>0</v>
      </c>
      <c r="P7" s="1" t="s">
        <v>19</v>
      </c>
      <c r="Q7" s="1" t="s">
        <v>19</v>
      </c>
      <c r="R7" s="1"/>
      <c r="S7" s="1"/>
      <c r="T7" s="1" t="s">
        <v>0</v>
      </c>
      <c r="U7" s="1" t="s">
        <v>0</v>
      </c>
      <c r="V7" s="1" t="s">
        <v>19</v>
      </c>
      <c r="W7" s="1" t="s">
        <v>19</v>
      </c>
      <c r="Y7" s="1" t="s">
        <v>20</v>
      </c>
      <c r="Z7" s="1" t="s">
        <v>20</v>
      </c>
      <c r="AA7" s="1" t="s">
        <v>19</v>
      </c>
      <c r="AB7" s="1" t="s">
        <v>19</v>
      </c>
      <c r="AC7" s="1"/>
      <c r="AD7" s="1" t="s">
        <v>20</v>
      </c>
      <c r="AE7" s="1" t="s">
        <v>20</v>
      </c>
      <c r="AF7" s="1" t="s">
        <v>19</v>
      </c>
      <c r="AG7" s="1" t="s">
        <v>19</v>
      </c>
      <c r="AI7" s="5"/>
      <c r="AJ7" s="5" t="s">
        <v>45</v>
      </c>
      <c r="AK7" s="7"/>
      <c r="AL7" s="7"/>
      <c r="AM7" s="7"/>
      <c r="AN7" s="7"/>
      <c r="AO7" s="6"/>
      <c r="AP7" s="7"/>
      <c r="AQ7" s="7"/>
      <c r="AR7" s="7"/>
      <c r="AS7" s="6"/>
    </row>
    <row r="8" spans="1:45" x14ac:dyDescent="0.45">
      <c r="N8" s="1" t="s">
        <v>14</v>
      </c>
      <c r="O8" s="1" t="s">
        <v>14</v>
      </c>
      <c r="P8" s="1" t="s">
        <v>14</v>
      </c>
      <c r="Q8" s="1" t="s">
        <v>14</v>
      </c>
      <c r="R8" s="1"/>
      <c r="S8" s="1"/>
      <c r="T8" s="1" t="s">
        <v>14</v>
      </c>
      <c r="U8" s="1" t="s">
        <v>14</v>
      </c>
      <c r="V8" s="1" t="s">
        <v>14</v>
      </c>
      <c r="W8" s="1" t="s">
        <v>14</v>
      </c>
      <c r="Y8" s="1" t="s">
        <v>14</v>
      </c>
      <c r="Z8" s="1" t="s">
        <v>14</v>
      </c>
      <c r="AA8" s="1" t="s">
        <v>14</v>
      </c>
      <c r="AB8" s="1" t="s">
        <v>14</v>
      </c>
      <c r="AC8" s="1"/>
      <c r="AD8" s="1" t="s">
        <v>14</v>
      </c>
      <c r="AE8" s="1" t="s">
        <v>14</v>
      </c>
      <c r="AF8" s="1" t="s">
        <v>14</v>
      </c>
      <c r="AG8" s="1" t="s">
        <v>14</v>
      </c>
    </row>
    <row r="9" spans="1:45" x14ac:dyDescent="0.45">
      <c r="B9" s="1" t="s">
        <v>1</v>
      </c>
      <c r="C9" s="1" t="s">
        <v>2</v>
      </c>
      <c r="D9" s="1" t="s">
        <v>11</v>
      </c>
      <c r="E9" s="1" t="s">
        <v>12</v>
      </c>
      <c r="F9" s="1"/>
      <c r="G9" s="1"/>
      <c r="H9" s="1" t="s">
        <v>21</v>
      </c>
      <c r="I9" s="1" t="s">
        <v>22</v>
      </c>
      <c r="J9" s="1" t="s">
        <v>23</v>
      </c>
      <c r="K9" s="1" t="s">
        <v>24</v>
      </c>
      <c r="L9" s="1"/>
      <c r="M9" s="1"/>
      <c r="N9" s="1" t="s">
        <v>3</v>
      </c>
      <c r="O9" s="1" t="s">
        <v>4</v>
      </c>
      <c r="P9" s="1" t="s">
        <v>9</v>
      </c>
      <c r="Q9" s="1" t="s">
        <v>10</v>
      </c>
      <c r="R9" s="1"/>
      <c r="S9" s="1"/>
      <c r="T9" s="1" t="s">
        <v>25</v>
      </c>
      <c r="U9" s="1" t="s">
        <v>26</v>
      </c>
      <c r="V9" s="1" t="s">
        <v>27</v>
      </c>
      <c r="W9" s="1" t="s">
        <v>28</v>
      </c>
      <c r="Y9" s="1" t="s">
        <v>5</v>
      </c>
      <c r="Z9" s="1" t="s">
        <v>6</v>
      </c>
      <c r="AA9" s="1" t="s">
        <v>5</v>
      </c>
      <c r="AB9" s="1" t="s">
        <v>6</v>
      </c>
      <c r="AC9" s="1"/>
      <c r="AD9" s="1" t="s">
        <v>25</v>
      </c>
      <c r="AE9" s="1" t="s">
        <v>26</v>
      </c>
      <c r="AF9" s="1" t="s">
        <v>27</v>
      </c>
      <c r="AG9" s="1" t="s">
        <v>28</v>
      </c>
      <c r="AI9" s="8"/>
      <c r="AJ9" s="9" t="s">
        <v>29</v>
      </c>
      <c r="AK9" s="9" t="s">
        <v>29</v>
      </c>
      <c r="AL9" s="9" t="s">
        <v>29</v>
      </c>
      <c r="AM9" s="9" t="s">
        <v>29</v>
      </c>
      <c r="AN9" s="1"/>
      <c r="AO9" s="8"/>
      <c r="AP9" s="9" t="s">
        <v>30</v>
      </c>
      <c r="AQ9" s="9" t="s">
        <v>30</v>
      </c>
      <c r="AR9" s="9" t="s">
        <v>30</v>
      </c>
      <c r="AS9" s="9" t="s">
        <v>30</v>
      </c>
    </row>
    <row r="10" spans="1:45" x14ac:dyDescent="0.45">
      <c r="B10" s="1">
        <v>0.61929109000000004</v>
      </c>
      <c r="C10" s="1">
        <v>96.887734350000002</v>
      </c>
      <c r="D10" s="1">
        <v>5.0170181700000001</v>
      </c>
      <c r="E10" s="1">
        <v>57.052771679999999</v>
      </c>
      <c r="F10" s="1"/>
      <c r="G10" s="1"/>
      <c r="H10" s="1">
        <f>100/B10</f>
        <v>161.47495356343654</v>
      </c>
      <c r="I10" s="1">
        <f t="shared" ref="I10:I39" si="6">100/C10</f>
        <v>1.0321223906295214</v>
      </c>
      <c r="J10" s="1">
        <f>100/D10</f>
        <v>19.932158228559892</v>
      </c>
      <c r="K10" s="1">
        <f t="shared" ref="K10:K39" si="7">100/E10</f>
        <v>1.7527632235097048</v>
      </c>
      <c r="L10" s="1"/>
      <c r="M10" s="1"/>
      <c r="N10" s="1">
        <v>0.57020669992872097</v>
      </c>
      <c r="O10" s="1">
        <v>96.887796887796796</v>
      </c>
      <c r="P10" s="1">
        <v>4.91803278688523</v>
      </c>
      <c r="Q10" s="1">
        <v>56.674856674856599</v>
      </c>
      <c r="R10" s="1"/>
      <c r="S10" s="1"/>
      <c r="T10" s="1">
        <f>100/N10</f>
        <v>175.37500000000099</v>
      </c>
      <c r="U10" s="1">
        <f>100/O10</f>
        <v>1.0321217244294176</v>
      </c>
      <c r="V10" s="1">
        <f>100/P10</f>
        <v>20.3333333333334</v>
      </c>
      <c r="W10" s="1">
        <f t="shared" ref="W10:W39" si="8">100/Q10</f>
        <v>1.7644508670520256</v>
      </c>
      <c r="Y10" s="1">
        <f>B10-N10</f>
        <v>4.9084390071279071E-2</v>
      </c>
      <c r="Z10" s="1">
        <f t="shared" ref="Z10:Z39" si="9">C10-O10</f>
        <v>-6.2537796793549205E-5</v>
      </c>
      <c r="AA10" s="1">
        <f t="shared" ref="AA10:AA39" si="10">D10-P10</f>
        <v>9.8985383114770009E-2</v>
      </c>
      <c r="AB10" s="1">
        <f t="shared" ref="AB10:AB39" si="11">E10-Q10</f>
        <v>0.37791500514340015</v>
      </c>
      <c r="AC10" s="1"/>
      <c r="AD10" s="1">
        <f>H10-T10</f>
        <v>-13.900046436564452</v>
      </c>
      <c r="AE10" s="1">
        <f t="shared" ref="AE10:AE39" si="12">I10-U10</f>
        <v>6.6620010374940364E-7</v>
      </c>
      <c r="AF10" s="1">
        <f t="shared" ref="AF10:AF39" si="13">J10-V10</f>
        <v>-0.40117510477350748</v>
      </c>
      <c r="AG10" s="1">
        <f t="shared" ref="AG10:AG39" si="14">K10-W10</f>
        <v>-1.1687643542320769E-2</v>
      </c>
      <c r="AI10" s="8"/>
      <c r="AJ10" s="9" t="s">
        <v>5</v>
      </c>
      <c r="AK10" s="9" t="s">
        <v>6</v>
      </c>
      <c r="AL10" s="9" t="s">
        <v>5</v>
      </c>
      <c r="AM10" s="9" t="s">
        <v>6</v>
      </c>
      <c r="AN10" s="1"/>
      <c r="AO10" s="8"/>
      <c r="AP10" s="9" t="s">
        <v>5</v>
      </c>
      <c r="AQ10" s="9" t="s">
        <v>6</v>
      </c>
      <c r="AR10" s="9" t="s">
        <v>5</v>
      </c>
      <c r="AS10" s="9" t="s">
        <v>6</v>
      </c>
    </row>
    <row r="11" spans="1:45" x14ac:dyDescent="0.45">
      <c r="B11" s="1">
        <v>1.01005926</v>
      </c>
      <c r="C11" s="1">
        <v>40.619276669999998</v>
      </c>
      <c r="D11" s="1">
        <v>10.072006399999999</v>
      </c>
      <c r="E11" s="1">
        <v>16.915309789999998</v>
      </c>
      <c r="F11" s="1"/>
      <c r="G11" s="1"/>
      <c r="H11" s="1">
        <f t="shared" ref="H11:H39" si="15">100/B11</f>
        <v>99.004092096536993</v>
      </c>
      <c r="I11" s="1">
        <f t="shared" si="6"/>
        <v>2.4618852967870932</v>
      </c>
      <c r="J11" s="1">
        <f t="shared" ref="J11:J39" si="16">100/D11</f>
        <v>9.9285083853798994</v>
      </c>
      <c r="K11" s="1">
        <f t="shared" si="7"/>
        <v>5.9118042318750819</v>
      </c>
      <c r="L11" s="1"/>
      <c r="M11" s="1"/>
      <c r="N11" s="1">
        <v>0.92658588738417402</v>
      </c>
      <c r="O11" s="1">
        <v>40.6224406224406</v>
      </c>
      <c r="P11" s="1">
        <v>10.049893086243699</v>
      </c>
      <c r="Q11" s="1">
        <v>16.543816543816501</v>
      </c>
      <c r="R11" s="1"/>
      <c r="S11" s="1"/>
      <c r="T11" s="1">
        <f t="shared" ref="T11:T25" si="17">100/N11</f>
        <v>107.92307692307725</v>
      </c>
      <c r="U11" s="1">
        <f t="shared" ref="U11:U25" si="18">100/O11</f>
        <v>2.4616935483870983</v>
      </c>
      <c r="V11" s="1">
        <f t="shared" ref="V11:V39" si="19">100/P11</f>
        <v>9.9503546099291409</v>
      </c>
      <c r="W11" s="1">
        <f t="shared" si="8"/>
        <v>6.0445544554455601</v>
      </c>
      <c r="Y11" s="1">
        <f t="shared" ref="Y11:Y39" si="20">B11-N11</f>
        <v>8.3473372615825991E-2</v>
      </c>
      <c r="Z11" s="1">
        <f t="shared" si="9"/>
        <v>-3.1639524406017472E-3</v>
      </c>
      <c r="AA11" s="1">
        <f t="shared" si="10"/>
        <v>2.2113313756300101E-2</v>
      </c>
      <c r="AB11" s="1">
        <f t="shared" si="11"/>
        <v>0.37149324618349766</v>
      </c>
      <c r="AC11" s="1"/>
      <c r="AD11" s="1">
        <f t="shared" ref="AD11:AD39" si="21">H11-T11</f>
        <v>-8.9189848265402532</v>
      </c>
      <c r="AE11" s="1">
        <f t="shared" si="12"/>
        <v>1.9174839999491766E-4</v>
      </c>
      <c r="AF11" s="1">
        <f t="shared" si="13"/>
        <v>-2.1846224549241455E-2</v>
      </c>
      <c r="AG11" s="1">
        <f t="shared" si="14"/>
        <v>-0.13275022357047828</v>
      </c>
      <c r="AI11" s="8" t="s">
        <v>31</v>
      </c>
      <c r="AJ11" s="9">
        <f>AVERAGE(Y10:Y39)</f>
        <v>6.1838619650328906E-2</v>
      </c>
      <c r="AK11" s="9">
        <f>AVERAGE(Z10:Z39)</f>
        <v>5.1363950838426146E-2</v>
      </c>
      <c r="AL11" s="9">
        <f>AVERAGE(AA10:AA39)</f>
        <v>3.8536466562885341E-2</v>
      </c>
      <c r="AM11" s="9">
        <f>AVERAGE(AB10:AB39)</f>
        <v>0.303340633442582</v>
      </c>
      <c r="AN11" s="1"/>
      <c r="AO11" s="8" t="s">
        <v>31</v>
      </c>
      <c r="AP11" s="9">
        <f>AVERAGE(AD10:AD39)</f>
        <v>-0.78495079402724577</v>
      </c>
      <c r="AQ11" s="9">
        <f>AVERAGE(AE10:AE39)</f>
        <v>-3.2079320450422284E-2</v>
      </c>
      <c r="AR11" s="9">
        <f>AVERAGE(AF10:AF39)</f>
        <v>-1.8231182057245419E-2</v>
      </c>
      <c r="AS11" s="9">
        <f>AVERAGE(AG10:AG39)</f>
        <v>-9.2534973778789748E-2</v>
      </c>
    </row>
    <row r="12" spans="1:45" x14ac:dyDescent="0.45">
      <c r="B12" s="1">
        <v>5.9755596600000001</v>
      </c>
      <c r="C12" s="1">
        <v>71.766181930000002</v>
      </c>
      <c r="D12" s="1">
        <v>12.847396079999999</v>
      </c>
      <c r="E12" s="1">
        <v>98.801536670000004</v>
      </c>
      <c r="F12" s="1"/>
      <c r="G12" s="1"/>
      <c r="H12" s="1">
        <f t="shared" si="15"/>
        <v>16.734834172837964</v>
      </c>
      <c r="I12" s="1">
        <f t="shared" si="6"/>
        <v>1.3934139633837421</v>
      </c>
      <c r="J12" s="1">
        <f t="shared" si="16"/>
        <v>7.7836784494932463</v>
      </c>
      <c r="K12" s="1">
        <f t="shared" si="7"/>
        <v>1.0121300069856494</v>
      </c>
      <c r="L12" s="1"/>
      <c r="M12" s="1"/>
      <c r="N12" s="1">
        <v>5.8446186742694097</v>
      </c>
      <c r="O12" s="1">
        <v>71.662571662571594</v>
      </c>
      <c r="P12" s="1">
        <v>12.829650748396199</v>
      </c>
      <c r="Q12" s="1">
        <v>98.443898443898405</v>
      </c>
      <c r="R12" s="1"/>
      <c r="S12" s="1"/>
      <c r="T12" s="1">
        <f t="shared" si="17"/>
        <v>17.109756097561014</v>
      </c>
      <c r="U12" s="1">
        <f t="shared" si="18"/>
        <v>1.3954285714285728</v>
      </c>
      <c r="V12" s="1">
        <f t="shared" si="19"/>
        <v>7.794444444444502</v>
      </c>
      <c r="W12" s="1">
        <f t="shared" si="8"/>
        <v>1.0158069883527459</v>
      </c>
      <c r="Y12" s="1">
        <f t="shared" si="20"/>
        <v>0.13094098573059032</v>
      </c>
      <c r="Z12" s="1">
        <f t="shared" si="9"/>
        <v>0.10361026742840806</v>
      </c>
      <c r="AA12" s="1">
        <f t="shared" si="10"/>
        <v>1.7745331603800096E-2</v>
      </c>
      <c r="AB12" s="1">
        <f t="shared" si="11"/>
        <v>0.35763822610159934</v>
      </c>
      <c r="AC12" s="1"/>
      <c r="AD12" s="1">
        <f t="shared" si="21"/>
        <v>-0.37492192472305064</v>
      </c>
      <c r="AE12" s="1">
        <f t="shared" si="12"/>
        <v>-2.014608044830668E-3</v>
      </c>
      <c r="AF12" s="1">
        <f t="shared" si="13"/>
        <v>-1.0765994951255742E-2</v>
      </c>
      <c r="AG12" s="1">
        <f t="shared" si="14"/>
        <v>-3.6769813670964879E-3</v>
      </c>
      <c r="AI12" s="8" t="s">
        <v>37</v>
      </c>
      <c r="AJ12" s="9" cm="1">
        <f t="array" ref="AJ12">MAX( ABS(Y10:Y39))</f>
        <v>0.14444479235219987</v>
      </c>
      <c r="AK12" s="9" cm="1">
        <f t="array" ref="AK12">MAX( ABS(Z10:Z39))</f>
        <v>0.15655335632270351</v>
      </c>
      <c r="AL12" s="9" cm="1">
        <f t="array" ref="AL12">MAX( ABS(AA10:AA39))</f>
        <v>0.15733733310059961</v>
      </c>
      <c r="AM12" s="9" cm="1">
        <f t="array" ref="AM12">MAX( ABS(AB10:AB39))</f>
        <v>0.41086256043409719</v>
      </c>
      <c r="AO12" s="8" t="s">
        <v>37</v>
      </c>
      <c r="AP12" s="9" cm="1">
        <f t="array" ref="AP12">MAX( ABS(AD10:AD39))</f>
        <v>13.900046436564452</v>
      </c>
      <c r="AQ12" s="9" cm="1">
        <f t="array" ref="AQ12">MAX( ABS(AE10:AE39))</f>
        <v>0.67012804626208933</v>
      </c>
      <c r="AR12" s="9" cm="1">
        <f t="array" ref="AR12">MAX( ABS(AF10:AF39))</f>
        <v>0.40117510477350748</v>
      </c>
      <c r="AS12" s="9" cm="1">
        <f t="array" ref="AS12">MAX( ABS(AG10:AG39))</f>
        <v>0.87123591956983759</v>
      </c>
    </row>
    <row r="13" spans="1:45" x14ac:dyDescent="0.45">
      <c r="B13" s="1">
        <v>7.5932600099999998</v>
      </c>
      <c r="C13" s="1">
        <v>54.730763549999999</v>
      </c>
      <c r="D13" s="1">
        <v>15.78603996</v>
      </c>
      <c r="E13" s="1">
        <v>66.340428489999994</v>
      </c>
      <c r="F13" s="1"/>
      <c r="G13" s="1"/>
      <c r="H13" s="1">
        <f t="shared" si="15"/>
        <v>13.169574052291672</v>
      </c>
      <c r="I13" s="1">
        <f t="shared" si="6"/>
        <v>1.8271259802294499</v>
      </c>
      <c r="J13" s="1">
        <f t="shared" si="16"/>
        <v>6.3347109378532194</v>
      </c>
      <c r="K13" s="1">
        <f t="shared" si="7"/>
        <v>1.507376456199311</v>
      </c>
      <c r="L13" s="1"/>
      <c r="M13" s="1"/>
      <c r="N13" s="1">
        <v>7.4839629365644997</v>
      </c>
      <c r="O13" s="1">
        <v>54.627354627354599</v>
      </c>
      <c r="P13" s="1">
        <v>15.823235923022001</v>
      </c>
      <c r="Q13" s="1">
        <v>65.929565929565896</v>
      </c>
      <c r="R13" s="1"/>
      <c r="S13" s="1"/>
      <c r="T13" s="1">
        <f t="shared" si="17"/>
        <v>13.361904761904771</v>
      </c>
      <c r="U13" s="1">
        <f t="shared" si="18"/>
        <v>1.8305847076461779</v>
      </c>
      <c r="V13" s="1">
        <f t="shared" si="19"/>
        <v>6.3198198198198581</v>
      </c>
      <c r="W13" s="1">
        <f t="shared" si="8"/>
        <v>1.5167701863354044</v>
      </c>
      <c r="Y13" s="1">
        <f t="shared" si="20"/>
        <v>0.1092970734355001</v>
      </c>
      <c r="Z13" s="1">
        <f t="shared" si="9"/>
        <v>0.10340892264540003</v>
      </c>
      <c r="AA13" s="1">
        <f t="shared" si="10"/>
        <v>-3.7195963022000456E-2</v>
      </c>
      <c r="AB13" s="1">
        <f t="shared" si="11"/>
        <v>0.41086256043409719</v>
      </c>
      <c r="AC13" s="1"/>
      <c r="AD13" s="1">
        <f t="shared" si="21"/>
        <v>-0.19233070961309906</v>
      </c>
      <c r="AE13" s="1">
        <f t="shared" si="12"/>
        <v>-3.4587274167279247E-3</v>
      </c>
      <c r="AF13" s="1">
        <f t="shared" si="13"/>
        <v>1.4891118033361295E-2</v>
      </c>
      <c r="AG13" s="1">
        <f t="shared" si="14"/>
        <v>-9.3937301360933478E-3</v>
      </c>
      <c r="AI13" s="8" t="s">
        <v>32</v>
      </c>
      <c r="AJ13" s="9">
        <f>_xlfn.STDEV.S(Y10:Y39)</f>
        <v>4.990335373191479E-2</v>
      </c>
      <c r="AK13" s="9">
        <f>_xlfn.STDEV.S(Z10:Z39)</f>
        <v>5.1940154879321319E-2</v>
      </c>
      <c r="AL13" s="9">
        <f>_xlfn.STDEV.S(AA10:AA39)</f>
        <v>5.0321300205178811E-2</v>
      </c>
      <c r="AM13" s="9">
        <f>_xlfn.STDEV.S(AB10:AB39)</f>
        <v>5.5823933052761565E-2</v>
      </c>
      <c r="AN13" s="1"/>
      <c r="AO13" s="8" t="s">
        <v>32</v>
      </c>
      <c r="AP13" s="9">
        <f>_xlfn.STDEV.S(AD10:AD39)</f>
        <v>2.9621696761929797</v>
      </c>
      <c r="AQ13" s="9">
        <f>_xlfn.STDEV.S(AE10:AE39)</f>
        <v>0.1234548580674991</v>
      </c>
      <c r="AR13" s="9">
        <f>_xlfn.STDEV.S(AF10:AF39)</f>
        <v>7.2905625953929951E-2</v>
      </c>
      <c r="AS13" s="9">
        <f>_xlfn.STDEV.S(AG10:AG39)</f>
        <v>0.21241124810530118</v>
      </c>
    </row>
    <row r="14" spans="1:45" x14ac:dyDescent="0.45">
      <c r="B14" s="1">
        <v>7.8804391100000002</v>
      </c>
      <c r="C14" s="1">
        <v>3.8649807300000001</v>
      </c>
      <c r="D14" s="1">
        <v>17.017010020000001</v>
      </c>
      <c r="E14" s="1">
        <v>11.506073649999999</v>
      </c>
      <c r="F14" s="1"/>
      <c r="G14" s="1"/>
      <c r="H14" s="1">
        <f t="shared" si="15"/>
        <v>12.689648204134148</v>
      </c>
      <c r="I14" s="1">
        <f t="shared" si="6"/>
        <v>25.873350214607669</v>
      </c>
      <c r="J14" s="1">
        <f t="shared" si="16"/>
        <v>5.8764730045096369</v>
      </c>
      <c r="K14" s="1">
        <f t="shared" si="7"/>
        <v>8.6910620461741956</v>
      </c>
      <c r="L14" s="1"/>
      <c r="M14" s="1"/>
      <c r="N14" s="1">
        <v>7.8403421240199602</v>
      </c>
      <c r="O14" s="1">
        <v>3.7674037674037399</v>
      </c>
      <c r="P14" s="1">
        <v>16.963649322879501</v>
      </c>
      <c r="Q14" s="1">
        <v>11.220311220311199</v>
      </c>
      <c r="R14" s="1"/>
      <c r="S14" s="1"/>
      <c r="T14" s="1">
        <f t="shared" si="17"/>
        <v>12.75454545454545</v>
      </c>
      <c r="U14" s="1">
        <f t="shared" si="18"/>
        <v>26.543478260869758</v>
      </c>
      <c r="V14" s="1">
        <f t="shared" si="19"/>
        <v>5.8949579831932919</v>
      </c>
      <c r="W14" s="1">
        <f t="shared" si="8"/>
        <v>8.912408759124105</v>
      </c>
      <c r="Y14" s="1">
        <f t="shared" si="20"/>
        <v>4.0096985980039968E-2</v>
      </c>
      <c r="Z14" s="1">
        <f t="shared" si="9"/>
        <v>9.7576962596260142E-2</v>
      </c>
      <c r="AA14" s="1">
        <f t="shared" si="10"/>
        <v>5.3360697120499623E-2</v>
      </c>
      <c r="AB14" s="1">
        <f t="shared" si="11"/>
        <v>0.28576242968880017</v>
      </c>
      <c r="AC14" s="1"/>
      <c r="AD14" s="1">
        <f t="shared" si="21"/>
        <v>-6.4897250411302565E-2</v>
      </c>
      <c r="AE14" s="1">
        <f t="shared" si="12"/>
        <v>-0.67012804626208933</v>
      </c>
      <c r="AF14" s="1">
        <f t="shared" si="13"/>
        <v>-1.8484978683654951E-2</v>
      </c>
      <c r="AG14" s="1">
        <f t="shared" si="14"/>
        <v>-0.22134671294990937</v>
      </c>
    </row>
    <row r="15" spans="1:45" x14ac:dyDescent="0.45">
      <c r="B15" s="1">
        <v>18.96126589</v>
      </c>
      <c r="C15" s="1">
        <v>97.130704170000001</v>
      </c>
      <c r="D15" s="1">
        <v>17.326133760000001</v>
      </c>
      <c r="E15" s="1">
        <v>28.120390660000002</v>
      </c>
      <c r="F15" s="1"/>
      <c r="G15" s="1"/>
      <c r="H15" s="1">
        <f t="shared" si="15"/>
        <v>5.2739094836879588</v>
      </c>
      <c r="I15" s="1">
        <f t="shared" si="6"/>
        <v>1.0295405644849245</v>
      </c>
      <c r="J15" s="1">
        <f t="shared" si="16"/>
        <v>5.7716280726670321</v>
      </c>
      <c r="K15" s="1">
        <f t="shared" si="7"/>
        <v>3.5561383626951359</v>
      </c>
      <c r="L15" s="1"/>
      <c r="M15" s="1"/>
      <c r="N15" s="1">
        <v>18.8168210976478</v>
      </c>
      <c r="O15" s="1">
        <v>97.051597051597</v>
      </c>
      <c r="P15" s="1">
        <v>17.248752672843899</v>
      </c>
      <c r="Q15" s="1">
        <v>27.7641277641277</v>
      </c>
      <c r="R15" s="1"/>
      <c r="S15" s="1"/>
      <c r="T15" s="1">
        <f t="shared" si="17"/>
        <v>5.314393939393967</v>
      </c>
      <c r="U15" s="1">
        <f t="shared" si="18"/>
        <v>1.0303797468354436</v>
      </c>
      <c r="V15" s="1">
        <f t="shared" si="19"/>
        <v>5.7975206611570274</v>
      </c>
      <c r="W15" s="1">
        <f t="shared" si="8"/>
        <v>3.6017699115044333</v>
      </c>
      <c r="Y15" s="1">
        <f t="shared" si="20"/>
        <v>0.14444479235219987</v>
      </c>
      <c r="Z15" s="1">
        <f t="shared" si="9"/>
        <v>7.9107118403001664E-2</v>
      </c>
      <c r="AA15" s="1">
        <f t="shared" si="10"/>
        <v>7.7381087156101813E-2</v>
      </c>
      <c r="AB15" s="1">
        <f t="shared" si="11"/>
        <v>0.35626289587230175</v>
      </c>
      <c r="AC15" s="1"/>
      <c r="AD15" s="1">
        <f t="shared" si="21"/>
        <v>-4.0484455706008227E-2</v>
      </c>
      <c r="AE15" s="1">
        <f t="shared" si="12"/>
        <v>-8.3918235051916312E-4</v>
      </c>
      <c r="AF15" s="1">
        <f t="shared" si="13"/>
        <v>-2.5892588489995205E-2</v>
      </c>
      <c r="AG15" s="1">
        <f t="shared" si="14"/>
        <v>-4.5631548809297318E-2</v>
      </c>
      <c r="AI15" s="8" t="s">
        <v>42</v>
      </c>
      <c r="AJ15" s="9"/>
      <c r="AK15" s="9"/>
      <c r="AL15" s="9"/>
      <c r="AM15" s="9"/>
      <c r="AN15" s="1"/>
      <c r="AO15" s="8" t="s">
        <v>42</v>
      </c>
      <c r="AP15" s="9"/>
      <c r="AQ15" s="9"/>
      <c r="AR15" s="9"/>
      <c r="AS15" s="9"/>
    </row>
    <row r="16" spans="1:45" x14ac:dyDescent="0.45">
      <c r="B16" s="1">
        <v>27.488892379999999</v>
      </c>
      <c r="C16" s="1">
        <v>73.26650223</v>
      </c>
      <c r="D16" s="1">
        <v>19.610628680000001</v>
      </c>
      <c r="E16" s="1">
        <v>20.47860184</v>
      </c>
      <c r="F16" s="1"/>
      <c r="G16" s="1"/>
      <c r="H16" s="1">
        <f t="shared" si="15"/>
        <v>3.6378330060601738</v>
      </c>
      <c r="I16" s="1">
        <f t="shared" si="6"/>
        <v>1.3648802243360485</v>
      </c>
      <c r="J16" s="1">
        <f t="shared" si="16"/>
        <v>5.0992755832445855</v>
      </c>
      <c r="K16" s="1">
        <f t="shared" si="7"/>
        <v>4.8831458700795762</v>
      </c>
      <c r="L16" s="1"/>
      <c r="M16" s="1"/>
      <c r="N16" s="1">
        <v>27.369921596578699</v>
      </c>
      <c r="O16" s="1">
        <v>73.218673218673203</v>
      </c>
      <c r="P16" s="1">
        <v>19.529579472558801</v>
      </c>
      <c r="Q16" s="1">
        <v>20.1474201474201</v>
      </c>
      <c r="R16" s="1"/>
      <c r="S16" s="1"/>
      <c r="T16" s="1">
        <f t="shared" si="17"/>
        <v>3.6536458333333415</v>
      </c>
      <c r="U16" s="1">
        <f t="shared" si="18"/>
        <v>1.3657718120805371</v>
      </c>
      <c r="V16" s="1">
        <f t="shared" si="19"/>
        <v>5.1204379562043796</v>
      </c>
      <c r="W16" s="1">
        <f t="shared" si="8"/>
        <v>4.9634146341463534</v>
      </c>
      <c r="Y16" s="1">
        <f t="shared" si="20"/>
        <v>0.1189707834213003</v>
      </c>
      <c r="Z16" s="1">
        <f t="shared" si="9"/>
        <v>4.7829011326797399E-2</v>
      </c>
      <c r="AA16" s="1">
        <f t="shared" si="10"/>
        <v>8.1049207441200366E-2</v>
      </c>
      <c r="AB16" s="1">
        <f t="shared" si="11"/>
        <v>0.33118169257990004</v>
      </c>
      <c r="AC16" s="1"/>
      <c r="AD16" s="1">
        <f t="shared" si="21"/>
        <v>-1.5812827273167684E-2</v>
      </c>
      <c r="AE16" s="1">
        <f t="shared" si="12"/>
        <v>-8.9158774448860889E-4</v>
      </c>
      <c r="AF16" s="1">
        <f t="shared" si="13"/>
        <v>-2.1162372959794062E-2</v>
      </c>
      <c r="AG16" s="1">
        <f t="shared" si="14"/>
        <v>-8.0268764066777187E-2</v>
      </c>
      <c r="AI16" s="10" t="s">
        <v>39</v>
      </c>
      <c r="AJ16" s="11">
        <f>N2</f>
        <v>99.429793300071196</v>
      </c>
      <c r="AK16" s="11">
        <f>O2</f>
        <v>97.051597051597</v>
      </c>
      <c r="AL16" s="11">
        <f>P2</f>
        <v>99.358517462580096</v>
      </c>
      <c r="AM16" s="11">
        <f>Q2</f>
        <v>98.443898443898405</v>
      </c>
      <c r="AN16" s="4"/>
      <c r="AO16" s="10" t="s">
        <v>39</v>
      </c>
      <c r="AP16" s="11">
        <f>T2</f>
        <v>175.37500000000099</v>
      </c>
      <c r="AQ16" s="11">
        <f t="shared" ref="AQ16:AS16" si="22">U2</f>
        <v>26.543478260869758</v>
      </c>
      <c r="AR16" s="11">
        <f t="shared" si="22"/>
        <v>20.3333333333334</v>
      </c>
      <c r="AS16" s="11">
        <f t="shared" si="22"/>
        <v>18.223880597014915</v>
      </c>
    </row>
    <row r="17" spans="2:45" x14ac:dyDescent="0.45">
      <c r="B17" s="1">
        <v>33.628172839999998</v>
      </c>
      <c r="C17" s="1">
        <v>34.086951380000002</v>
      </c>
      <c r="D17" s="1">
        <v>24.760951380000002</v>
      </c>
      <c r="E17" s="1">
        <v>46.63482003</v>
      </c>
      <c r="F17" s="1"/>
      <c r="G17" s="1"/>
      <c r="H17" s="1">
        <f t="shared" si="15"/>
        <v>2.9736970984356343</v>
      </c>
      <c r="I17" s="1">
        <f t="shared" si="6"/>
        <v>2.933673911908516</v>
      </c>
      <c r="J17" s="1">
        <f t="shared" si="16"/>
        <v>4.038617033139217</v>
      </c>
      <c r="K17" s="1">
        <f t="shared" si="7"/>
        <v>2.1443204870453103</v>
      </c>
      <c r="L17" s="1"/>
      <c r="M17" s="1"/>
      <c r="N17" s="1">
        <v>33.499643620812499</v>
      </c>
      <c r="O17" s="1">
        <v>34.070434070433997</v>
      </c>
      <c r="P17" s="1">
        <v>24.732715609408402</v>
      </c>
      <c r="Q17" s="1">
        <v>46.437346437346399</v>
      </c>
      <c r="R17" s="1"/>
      <c r="S17" s="1"/>
      <c r="T17" s="1">
        <f t="shared" si="17"/>
        <v>2.9851063829787274</v>
      </c>
      <c r="U17" s="1">
        <f t="shared" si="18"/>
        <v>2.93509615384616</v>
      </c>
      <c r="V17" s="1">
        <f t="shared" si="19"/>
        <v>4.0432276657060537</v>
      </c>
      <c r="W17" s="1">
        <f t="shared" si="8"/>
        <v>2.1534391534391553</v>
      </c>
      <c r="Y17" s="1">
        <f t="shared" si="20"/>
        <v>0.12852921918749871</v>
      </c>
      <c r="Z17" s="1">
        <f t="shared" si="9"/>
        <v>1.6517309566005167E-2</v>
      </c>
      <c r="AA17" s="1">
        <f t="shared" si="10"/>
        <v>2.8235770591599874E-2</v>
      </c>
      <c r="AB17" s="1">
        <f t="shared" si="11"/>
        <v>0.19747359265360132</v>
      </c>
      <c r="AC17" s="1"/>
      <c r="AD17" s="1">
        <f t="shared" si="21"/>
        <v>-1.140928454309309E-2</v>
      </c>
      <c r="AE17" s="1">
        <f t="shared" si="12"/>
        <v>-1.4222419376439532E-3</v>
      </c>
      <c r="AF17" s="1">
        <f t="shared" si="13"/>
        <v>-4.6106325668366921E-3</v>
      </c>
      <c r="AG17" s="1">
        <f t="shared" si="14"/>
        <v>-9.1186663938449541E-3</v>
      </c>
      <c r="AI17" s="8" t="s">
        <v>38</v>
      </c>
      <c r="AJ17" s="12">
        <f t="shared" ref="AJ17:AM19" si="23">AJ11/AJ$16</f>
        <v>6.2193249727176723E-4</v>
      </c>
      <c r="AK17" s="12">
        <f t="shared" si="23"/>
        <v>5.2924374661365706E-4</v>
      </c>
      <c r="AL17" s="12">
        <f t="shared" si="23"/>
        <v>3.8785267279575455E-4</v>
      </c>
      <c r="AM17" s="12">
        <f t="shared" si="23"/>
        <v>3.0813553530232344E-3</v>
      </c>
      <c r="AN17" s="2"/>
      <c r="AO17" s="8" t="s">
        <v>38</v>
      </c>
      <c r="AP17" s="12">
        <f t="shared" ref="AP17:AS19" si="24">AP11/AP$16</f>
        <v>-4.4758420186870491E-3</v>
      </c>
      <c r="AQ17" s="12">
        <f t="shared" si="24"/>
        <v>-1.2085575272067276E-3</v>
      </c>
      <c r="AR17" s="12">
        <f t="shared" si="24"/>
        <v>-8.9661551101206688E-4</v>
      </c>
      <c r="AS17" s="12">
        <f t="shared" si="24"/>
        <v>-5.0776766938402263E-3</v>
      </c>
    </row>
    <row r="18" spans="2:45" x14ac:dyDescent="0.45">
      <c r="B18" s="1">
        <v>34.344647449999997</v>
      </c>
      <c r="C18" s="1">
        <v>88.822713419999999</v>
      </c>
      <c r="D18" s="1">
        <v>24.961328779999999</v>
      </c>
      <c r="E18" s="1">
        <v>49.428060109999997</v>
      </c>
      <c r="F18" s="1"/>
      <c r="G18" s="1"/>
      <c r="H18" s="1">
        <f t="shared" si="15"/>
        <v>2.9116618578071911</v>
      </c>
      <c r="I18" s="1">
        <f t="shared" si="6"/>
        <v>1.1258381572644371</v>
      </c>
      <c r="J18" s="1">
        <f t="shared" si="16"/>
        <v>4.0061969809926126</v>
      </c>
      <c r="K18" s="1">
        <f t="shared" si="7"/>
        <v>2.0231423158718824</v>
      </c>
      <c r="L18" s="1"/>
      <c r="M18" s="1"/>
      <c r="N18" s="1">
        <v>34.354953670705598</v>
      </c>
      <c r="O18" s="1">
        <v>88.779688779688698</v>
      </c>
      <c r="P18" s="1">
        <v>24.803991446899399</v>
      </c>
      <c r="Q18" s="1">
        <v>49.140049140049101</v>
      </c>
      <c r="R18" s="1"/>
      <c r="S18" s="1"/>
      <c r="T18" s="1">
        <f t="shared" si="17"/>
        <v>2.9107883817427416</v>
      </c>
      <c r="U18" s="1">
        <f t="shared" si="18"/>
        <v>1.1263837638376395</v>
      </c>
      <c r="V18" s="1">
        <f t="shared" si="19"/>
        <v>4.0316091954023152</v>
      </c>
      <c r="W18" s="1">
        <f t="shared" si="8"/>
        <v>2.0350000000000015</v>
      </c>
      <c r="Y18" s="1">
        <f t="shared" si="20"/>
        <v>-1.0306220705601277E-2</v>
      </c>
      <c r="Z18" s="1">
        <f t="shared" si="9"/>
        <v>4.302464031130171E-2</v>
      </c>
      <c r="AA18" s="1">
        <f t="shared" si="10"/>
        <v>0.15733733310059961</v>
      </c>
      <c r="AB18" s="1">
        <f t="shared" si="11"/>
        <v>0.28801096995089637</v>
      </c>
      <c r="AC18" s="1"/>
      <c r="AD18" s="1">
        <f t="shared" si="21"/>
        <v>8.7347606444954096E-4</v>
      </c>
      <c r="AE18" s="1">
        <f t="shared" si="12"/>
        <v>-5.4560657320235073E-4</v>
      </c>
      <c r="AF18" s="1">
        <f t="shared" si="13"/>
        <v>-2.5412214409702649E-2</v>
      </c>
      <c r="AG18" s="1">
        <f t="shared" si="14"/>
        <v>-1.185768412811905E-2</v>
      </c>
      <c r="AI18" s="8" t="s">
        <v>36</v>
      </c>
      <c r="AJ18" s="12">
        <f t="shared" si="23"/>
        <v>1.452731495843273E-3</v>
      </c>
      <c r="AK18" s="12">
        <f t="shared" si="23"/>
        <v>1.6130940765402622E-3</v>
      </c>
      <c r="AL18" s="12">
        <f t="shared" si="23"/>
        <v>1.583531408465864E-3</v>
      </c>
      <c r="AM18" s="12">
        <f t="shared" si="23"/>
        <v>4.1735706014145828E-3</v>
      </c>
      <c r="AN18" s="1"/>
      <c r="AO18" s="8" t="s">
        <v>36</v>
      </c>
      <c r="AP18" s="12">
        <f t="shared" si="24"/>
        <v>7.9258996074493923E-2</v>
      </c>
      <c r="AQ18" s="12">
        <f t="shared" si="24"/>
        <v>2.5246429261307032E-2</v>
      </c>
      <c r="AR18" s="12">
        <f t="shared" si="24"/>
        <v>1.9729923185582272E-2</v>
      </c>
      <c r="AS18" s="12">
        <f t="shared" si="24"/>
        <v>4.7807376421932148E-2</v>
      </c>
    </row>
    <row r="19" spans="2:45" x14ac:dyDescent="0.45">
      <c r="B19" s="1">
        <v>34.655171420000002</v>
      </c>
      <c r="C19" s="1">
        <v>67.748485479999999</v>
      </c>
      <c r="D19" s="1">
        <v>26.907021790000002</v>
      </c>
      <c r="E19" s="1">
        <v>47.513060109999998</v>
      </c>
      <c r="F19" s="1"/>
      <c r="G19" s="1"/>
      <c r="H19" s="1">
        <f t="shared" si="15"/>
        <v>2.8855722220519318</v>
      </c>
      <c r="I19" s="1">
        <f t="shared" si="6"/>
        <v>1.4760477565143646</v>
      </c>
      <c r="J19" s="1">
        <f t="shared" si="16"/>
        <v>3.7165019889776509</v>
      </c>
      <c r="K19" s="1">
        <f t="shared" si="7"/>
        <v>2.1046844755628182</v>
      </c>
      <c r="L19" s="1"/>
      <c r="M19" s="1"/>
      <c r="N19" s="1">
        <v>34.6400570206699</v>
      </c>
      <c r="O19" s="1">
        <v>67.731367731367698</v>
      </c>
      <c r="P19" s="1">
        <v>26.870990734141099</v>
      </c>
      <c r="Q19" s="1">
        <v>47.174447174447103</v>
      </c>
      <c r="R19" s="1"/>
      <c r="S19" s="1"/>
      <c r="T19" s="1">
        <f t="shared" si="17"/>
        <v>2.8868312757201724</v>
      </c>
      <c r="U19" s="1">
        <f t="shared" si="18"/>
        <v>1.476420798065297</v>
      </c>
      <c r="V19" s="1">
        <f t="shared" si="19"/>
        <v>3.7214854111405873</v>
      </c>
      <c r="W19" s="1">
        <f t="shared" si="8"/>
        <v>2.1197916666666701</v>
      </c>
      <c r="Y19" s="1">
        <f t="shared" si="20"/>
        <v>1.5114399330101946E-2</v>
      </c>
      <c r="Z19" s="1">
        <f t="shared" si="9"/>
        <v>1.7117748632301755E-2</v>
      </c>
      <c r="AA19" s="1">
        <f t="shared" si="10"/>
        <v>3.6031055858902761E-2</v>
      </c>
      <c r="AB19" s="1">
        <f t="shared" si="11"/>
        <v>0.33861293555289507</v>
      </c>
      <c r="AC19" s="1"/>
      <c r="AD19" s="1">
        <f t="shared" si="21"/>
        <v>-1.2590536682406395E-3</v>
      </c>
      <c r="AE19" s="1">
        <f t="shared" si="12"/>
        <v>-3.7304155093242919E-4</v>
      </c>
      <c r="AF19" s="1">
        <f t="shared" si="13"/>
        <v>-4.9834221629363462E-3</v>
      </c>
      <c r="AG19" s="1">
        <f t="shared" si="14"/>
        <v>-1.5107191103851836E-2</v>
      </c>
      <c r="AI19" s="8" t="s">
        <v>35</v>
      </c>
      <c r="AJ19" s="12">
        <f t="shared" si="23"/>
        <v>5.0189537839337992E-4</v>
      </c>
      <c r="AK19" s="12">
        <f t="shared" si="23"/>
        <v>5.3518083635148829E-4</v>
      </c>
      <c r="AL19" s="12">
        <f t="shared" si="23"/>
        <v>5.064618664839737E-4</v>
      </c>
      <c r="AM19" s="12">
        <f t="shared" si="23"/>
        <v>5.6706341312331033E-4</v>
      </c>
      <c r="AN19" s="2"/>
      <c r="AO19" s="8" t="s">
        <v>35</v>
      </c>
      <c r="AP19" s="12">
        <f t="shared" si="24"/>
        <v>1.6890489956909269E-2</v>
      </c>
      <c r="AQ19" s="12">
        <f t="shared" si="24"/>
        <v>4.6510429738779013E-3</v>
      </c>
      <c r="AR19" s="12">
        <f t="shared" si="24"/>
        <v>3.5855225878981827E-3</v>
      </c>
      <c r="AS19" s="12">
        <f t="shared" si="24"/>
        <v>1.1655654072936271E-2</v>
      </c>
    </row>
    <row r="20" spans="2:45" x14ac:dyDescent="0.45">
      <c r="B20" s="1">
        <v>35.427304530000001</v>
      </c>
      <c r="C20" s="1">
        <v>9.5039365700000005</v>
      </c>
      <c r="D20" s="1">
        <v>29.244775270000002</v>
      </c>
      <c r="E20" s="1">
        <v>6.4607758000000004</v>
      </c>
      <c r="F20" s="1"/>
      <c r="G20" s="1"/>
      <c r="H20" s="1">
        <f t="shared" si="15"/>
        <v>2.8226815820921276</v>
      </c>
      <c r="I20" s="1">
        <f t="shared" si="6"/>
        <v>10.521955745754729</v>
      </c>
      <c r="J20" s="1">
        <f t="shared" si="16"/>
        <v>3.419414205674626</v>
      </c>
      <c r="K20" s="1">
        <f t="shared" si="7"/>
        <v>15.478017361320601</v>
      </c>
      <c r="L20" s="1"/>
      <c r="M20" s="1"/>
      <c r="N20" s="1">
        <v>35.424091233071998</v>
      </c>
      <c r="O20" s="1">
        <v>9.4185094185094105</v>
      </c>
      <c r="P20" s="1">
        <v>29.151817533856001</v>
      </c>
      <c r="Q20" s="1">
        <v>6.14250614250615</v>
      </c>
      <c r="R20" s="1"/>
      <c r="S20" s="1"/>
      <c r="T20" s="1">
        <f t="shared" si="17"/>
        <v>2.8229376257545264</v>
      </c>
      <c r="U20" s="1">
        <f t="shared" si="18"/>
        <v>10.617391304347835</v>
      </c>
      <c r="V20" s="1">
        <f t="shared" si="19"/>
        <v>3.4303178484107604</v>
      </c>
      <c r="W20" s="1">
        <f t="shared" si="8"/>
        <v>16.27999999999998</v>
      </c>
      <c r="Y20" s="1">
        <f t="shared" si="20"/>
        <v>3.2132969280027623E-3</v>
      </c>
      <c r="Z20" s="1">
        <f t="shared" si="9"/>
        <v>8.5427151490589992E-2</v>
      </c>
      <c r="AA20" s="1">
        <f t="shared" si="10"/>
        <v>9.2957736144001046E-2</v>
      </c>
      <c r="AB20" s="1">
        <f t="shared" si="11"/>
        <v>0.31826965749385039</v>
      </c>
      <c r="AC20" s="1"/>
      <c r="AD20" s="1">
        <f t="shared" si="21"/>
        <v>-2.5604366239884158E-4</v>
      </c>
      <c r="AE20" s="1">
        <f t="shared" si="12"/>
        <v>-9.5435558593106151E-2</v>
      </c>
      <c r="AF20" s="1">
        <f t="shared" si="13"/>
        <v>-1.0903642736134422E-2</v>
      </c>
      <c r="AG20" s="1">
        <f t="shared" si="14"/>
        <v>-0.80198263867937847</v>
      </c>
    </row>
    <row r="21" spans="2:45" x14ac:dyDescent="0.45">
      <c r="B21" s="1">
        <v>39.17994487</v>
      </c>
      <c r="C21" s="1">
        <v>15.30337383</v>
      </c>
      <c r="D21" s="1">
        <v>32.062373020000003</v>
      </c>
      <c r="E21" s="1">
        <v>9.1444861300000007</v>
      </c>
      <c r="F21" s="1"/>
      <c r="G21" s="1"/>
      <c r="H21" s="1">
        <f t="shared" si="15"/>
        <v>2.5523262049449635</v>
      </c>
      <c r="I21" s="1">
        <f t="shared" si="6"/>
        <v>6.5345067767974667</v>
      </c>
      <c r="J21" s="1">
        <f t="shared" si="16"/>
        <v>3.1189207342083374</v>
      </c>
      <c r="K21" s="1">
        <f t="shared" si="7"/>
        <v>10.935551607644026</v>
      </c>
      <c r="L21" s="1"/>
      <c r="M21" s="1"/>
      <c r="N21" s="1">
        <v>39.130434782608603</v>
      </c>
      <c r="O21" s="1">
        <v>15.3153153153152</v>
      </c>
      <c r="P21" s="1">
        <v>32.074126870990703</v>
      </c>
      <c r="Q21" s="1">
        <v>8.9271089271089092</v>
      </c>
      <c r="R21" s="1"/>
      <c r="S21" s="1"/>
      <c r="T21" s="1">
        <f t="shared" si="17"/>
        <v>2.5555555555555616</v>
      </c>
      <c r="U21" s="1">
        <f t="shared" si="18"/>
        <v>6.529411764705932</v>
      </c>
      <c r="V21" s="1">
        <f t="shared" si="19"/>
        <v>3.1177777777777806</v>
      </c>
      <c r="W21" s="1">
        <f t="shared" si="8"/>
        <v>11.201834862385343</v>
      </c>
      <c r="Y21" s="1">
        <f t="shared" si="20"/>
        <v>4.9510087391396951E-2</v>
      </c>
      <c r="Z21" s="1">
        <f t="shared" si="9"/>
        <v>-1.1941485315199785E-2</v>
      </c>
      <c r="AA21" s="1">
        <f t="shared" si="10"/>
        <v>-1.1753850990700698E-2</v>
      </c>
      <c r="AB21" s="1">
        <f t="shared" si="11"/>
        <v>0.21737720289109141</v>
      </c>
      <c r="AC21" s="1"/>
      <c r="AD21" s="1">
        <f t="shared" si="21"/>
        <v>-3.2293506105980363E-3</v>
      </c>
      <c r="AE21" s="1">
        <f t="shared" si="12"/>
        <v>5.0950120915347341E-3</v>
      </c>
      <c r="AF21" s="1">
        <f t="shared" si="13"/>
        <v>1.1429564305567297E-3</v>
      </c>
      <c r="AG21" s="1">
        <f t="shared" si="14"/>
        <v>-0.26628325474131742</v>
      </c>
      <c r="AI21" s="10" t="s">
        <v>40</v>
      </c>
      <c r="AJ21" s="11">
        <f>N1</f>
        <v>51.202185792349653</v>
      </c>
      <c r="AK21" s="11">
        <f>O1</f>
        <v>48.282828282828241</v>
      </c>
      <c r="AL21" s="11">
        <f>P1</f>
        <v>49.836065573770448</v>
      </c>
      <c r="AM21" s="11">
        <f>Q1</f>
        <v>50.79989079989074</v>
      </c>
      <c r="AN21" s="4"/>
      <c r="AO21" s="10" t="s">
        <v>40</v>
      </c>
      <c r="AP21" s="11">
        <f>T1</f>
        <v>12.544293391135358</v>
      </c>
      <c r="AQ21" s="11">
        <f>U1</f>
        <v>4.6537156641644266</v>
      </c>
      <c r="AR21" s="11">
        <f>V1</f>
        <v>3.6057419914944973</v>
      </c>
      <c r="AS21" s="11">
        <f>W1</f>
        <v>3.8564390310101624</v>
      </c>
    </row>
    <row r="22" spans="2:45" x14ac:dyDescent="0.45">
      <c r="B22" s="1">
        <v>45.118863169999997</v>
      </c>
      <c r="C22" s="1">
        <v>67.322203270000003</v>
      </c>
      <c r="D22" s="1">
        <v>35.922866290000002</v>
      </c>
      <c r="E22" s="1">
        <v>50.050536119999997</v>
      </c>
      <c r="F22" s="1"/>
      <c r="G22" s="1"/>
      <c r="H22" s="1">
        <f t="shared" si="15"/>
        <v>2.2163678996790646</v>
      </c>
      <c r="I22" s="1">
        <f t="shared" si="6"/>
        <v>1.4853940474726235</v>
      </c>
      <c r="J22" s="1">
        <f t="shared" si="16"/>
        <v>2.783742232390777</v>
      </c>
      <c r="K22" s="1">
        <f t="shared" si="7"/>
        <v>1.9979805962565982</v>
      </c>
      <c r="L22" s="1"/>
      <c r="M22" s="1"/>
      <c r="N22" s="1">
        <v>45.046329294369201</v>
      </c>
      <c r="O22" s="1">
        <v>67.2399672399672</v>
      </c>
      <c r="P22" s="1">
        <v>35.851746258018501</v>
      </c>
      <c r="Q22" s="1">
        <v>49.795249795249703</v>
      </c>
      <c r="R22" s="1"/>
      <c r="S22" s="1"/>
      <c r="T22" s="1">
        <f t="shared" si="17"/>
        <v>2.21993670886076</v>
      </c>
      <c r="U22" s="1">
        <f t="shared" si="18"/>
        <v>1.4872107186358108</v>
      </c>
      <c r="V22" s="1">
        <f t="shared" si="19"/>
        <v>2.7892644135188891</v>
      </c>
      <c r="W22" s="1">
        <f t="shared" si="8"/>
        <v>2.0082236842105301</v>
      </c>
      <c r="Y22" s="1">
        <f t="shared" si="20"/>
        <v>7.2533875630796274E-2</v>
      </c>
      <c r="Z22" s="1">
        <f t="shared" si="9"/>
        <v>8.2236030032802887E-2</v>
      </c>
      <c r="AA22" s="1">
        <f t="shared" si="10"/>
        <v>7.1120031981500631E-2</v>
      </c>
      <c r="AB22" s="1">
        <f t="shared" si="11"/>
        <v>0.25528632475029411</v>
      </c>
      <c r="AC22" s="1"/>
      <c r="AD22" s="1">
        <f t="shared" si="21"/>
        <v>-3.5688091816954426E-3</v>
      </c>
      <c r="AE22" s="1">
        <f t="shared" si="12"/>
        <v>-1.8166711631872889E-3</v>
      </c>
      <c r="AF22" s="1">
        <f t="shared" si="13"/>
        <v>-5.5221811281120914E-3</v>
      </c>
      <c r="AG22" s="1">
        <f t="shared" si="14"/>
        <v>-1.0243087953931918E-2</v>
      </c>
      <c r="AI22" s="8" t="s">
        <v>38</v>
      </c>
      <c r="AJ22" s="12">
        <f t="shared" ref="AJ22:AM24" si="25">AJ11/AJ$21</f>
        <v>1.2077339803639494E-3</v>
      </c>
      <c r="AK22" s="12">
        <f t="shared" si="25"/>
        <v>1.0638140445615467E-3</v>
      </c>
      <c r="AL22" s="12">
        <f t="shared" si="25"/>
        <v>7.7326462511052895E-4</v>
      </c>
      <c r="AM22" s="12">
        <f t="shared" si="25"/>
        <v>5.9712851477868615E-3</v>
      </c>
      <c r="AN22" s="2"/>
      <c r="AO22" s="8" t="s">
        <v>38</v>
      </c>
      <c r="AP22" s="12">
        <f t="shared" ref="AP22:AS24" si="26">AP11/AP$21</f>
        <v>-6.2574333169052379E-2</v>
      </c>
      <c r="AQ22" s="12">
        <f t="shared" si="26"/>
        <v>-6.8932704027120911E-3</v>
      </c>
      <c r="AR22" s="12">
        <f t="shared" si="26"/>
        <v>-5.0561526865345718E-3</v>
      </c>
      <c r="AS22" s="12">
        <f t="shared" si="26"/>
        <v>-2.3994927194415146E-2</v>
      </c>
    </row>
    <row r="23" spans="2:45" x14ac:dyDescent="0.45">
      <c r="B23" s="1">
        <v>45.90439207</v>
      </c>
      <c r="C23" s="1">
        <v>92.084759660000003</v>
      </c>
      <c r="D23" s="1">
        <v>38.976996649999997</v>
      </c>
      <c r="E23" s="1">
        <v>86.042368030000006</v>
      </c>
      <c r="F23" s="1"/>
      <c r="G23" s="1"/>
      <c r="H23" s="1">
        <f t="shared" si="15"/>
        <v>2.1784407872673524</v>
      </c>
      <c r="I23" s="1">
        <f t="shared" si="6"/>
        <v>1.085956029740698</v>
      </c>
      <c r="J23" s="1">
        <f t="shared" si="16"/>
        <v>2.5656158399777578</v>
      </c>
      <c r="K23" s="1">
        <f t="shared" si="7"/>
        <v>1.1622181291562483</v>
      </c>
      <c r="L23" s="1"/>
      <c r="M23" s="1"/>
      <c r="N23" s="1">
        <v>45.8303635067711</v>
      </c>
      <c r="O23" s="1">
        <v>91.973791973791904</v>
      </c>
      <c r="P23" s="1">
        <v>38.916607270135401</v>
      </c>
      <c r="Q23" s="1">
        <v>85.749385749385695</v>
      </c>
      <c r="R23" s="1"/>
      <c r="S23" s="1"/>
      <c r="T23" s="1">
        <f t="shared" si="17"/>
        <v>2.1819595645412182</v>
      </c>
      <c r="U23" s="1">
        <f t="shared" si="18"/>
        <v>1.0872662511130908</v>
      </c>
      <c r="V23" s="1">
        <f t="shared" si="19"/>
        <v>2.5695970695970711</v>
      </c>
      <c r="W23" s="1">
        <f t="shared" si="8"/>
        <v>1.1661891117478518</v>
      </c>
      <c r="Y23" s="1">
        <f t="shared" si="20"/>
        <v>7.4028563228900168E-2</v>
      </c>
      <c r="Z23" s="1">
        <f t="shared" si="9"/>
        <v>0.11096768620809883</v>
      </c>
      <c r="AA23" s="1">
        <f t="shared" si="10"/>
        <v>6.0389379864595583E-2</v>
      </c>
      <c r="AB23" s="1">
        <f t="shared" si="11"/>
        <v>0.29298228061431075</v>
      </c>
      <c r="AC23" s="1"/>
      <c r="AD23" s="1">
        <f t="shared" si="21"/>
        <v>-3.5187772738658474E-3</v>
      </c>
      <c r="AE23" s="1">
        <f t="shared" si="12"/>
        <v>-1.3102213723927836E-3</v>
      </c>
      <c r="AF23" s="1">
        <f t="shared" si="13"/>
        <v>-3.9812296193133534E-3</v>
      </c>
      <c r="AG23" s="1">
        <f t="shared" si="14"/>
        <v>-3.9709825916034447E-3</v>
      </c>
      <c r="AI23" s="8" t="s">
        <v>36</v>
      </c>
      <c r="AJ23" s="12">
        <f t="shared" si="25"/>
        <v>2.8210669157366719E-3</v>
      </c>
      <c r="AK23" s="12">
        <f t="shared" si="25"/>
        <v>3.2424230702819373E-3</v>
      </c>
      <c r="AL23" s="12">
        <f t="shared" si="25"/>
        <v>3.1570978023475606E-3</v>
      </c>
      <c r="AM23" s="12">
        <f t="shared" si="25"/>
        <v>8.0878630635753436E-3</v>
      </c>
      <c r="AN23" s="1"/>
      <c r="AO23" s="8" t="s">
        <v>36</v>
      </c>
      <c r="AP23" s="12">
        <f t="shared" si="26"/>
        <v>1.1080772749134806</v>
      </c>
      <c r="AQ23" s="12">
        <f t="shared" si="26"/>
        <v>0.14399849381051746</v>
      </c>
      <c r="AR23" s="12">
        <f t="shared" si="26"/>
        <v>0.11126006955567823</v>
      </c>
      <c r="AS23" s="12">
        <f t="shared" si="26"/>
        <v>0.22591720303733792</v>
      </c>
    </row>
    <row r="24" spans="2:45" x14ac:dyDescent="0.45">
      <c r="B24" s="1">
        <v>50.232937120000003</v>
      </c>
      <c r="C24" s="1">
        <v>8.2459504100000007</v>
      </c>
      <c r="D24" s="1">
        <v>39.14350409</v>
      </c>
      <c r="E24" s="1">
        <v>86.845329070000005</v>
      </c>
      <c r="F24" s="1"/>
      <c r="G24" s="1"/>
      <c r="H24" s="1">
        <f t="shared" si="15"/>
        <v>1.9907257216736682</v>
      </c>
      <c r="I24" s="1">
        <f t="shared" si="6"/>
        <v>12.12716485400256</v>
      </c>
      <c r="J24" s="1">
        <f t="shared" si="16"/>
        <v>2.5547023018193973</v>
      </c>
      <c r="K24" s="1">
        <f t="shared" si="7"/>
        <v>1.1514724058377039</v>
      </c>
      <c r="L24" s="1"/>
      <c r="M24" s="1"/>
      <c r="N24" s="1">
        <v>50.106913756236601</v>
      </c>
      <c r="O24" s="1">
        <v>8.1900081900081805</v>
      </c>
      <c r="P24" s="1">
        <v>39.201710620099703</v>
      </c>
      <c r="Q24" s="1">
        <v>86.650286650286603</v>
      </c>
      <c r="R24" s="1"/>
      <c r="S24" s="1"/>
      <c r="T24" s="1">
        <f t="shared" si="17"/>
        <v>1.9957325746799446</v>
      </c>
      <c r="U24" s="1">
        <f t="shared" si="18"/>
        <v>12.210000000000015</v>
      </c>
      <c r="V24" s="1">
        <f t="shared" si="19"/>
        <v>2.5509090909090961</v>
      </c>
      <c r="W24" s="1">
        <f t="shared" si="8"/>
        <v>1.1540642722117209</v>
      </c>
      <c r="Y24" s="1">
        <f t="shared" si="20"/>
        <v>0.12602336376340162</v>
      </c>
      <c r="Z24" s="1">
        <f t="shared" si="9"/>
        <v>5.5942219991820252E-2</v>
      </c>
      <c r="AA24" s="1">
        <f t="shared" si="10"/>
        <v>-5.8206530099703002E-2</v>
      </c>
      <c r="AB24" s="1">
        <f t="shared" si="11"/>
        <v>0.19504241971340264</v>
      </c>
      <c r="AC24" s="1"/>
      <c r="AD24" s="1">
        <f t="shared" si="21"/>
        <v>-5.0068530062763461E-3</v>
      </c>
      <c r="AE24" s="1">
        <f t="shared" si="12"/>
        <v>-8.2835145997455228E-2</v>
      </c>
      <c r="AF24" s="1">
        <f t="shared" si="13"/>
        <v>3.7932109103011591E-3</v>
      </c>
      <c r="AG24" s="1">
        <f t="shared" si="14"/>
        <v>-2.5918663740169823E-3</v>
      </c>
      <c r="AI24" s="8" t="s">
        <v>35</v>
      </c>
      <c r="AJ24" s="12">
        <f t="shared" si="25"/>
        <v>9.7463326925724869E-4</v>
      </c>
      <c r="AK24" s="12">
        <f t="shared" si="25"/>
        <v>1.075747977626112E-3</v>
      </c>
      <c r="AL24" s="12">
        <f t="shared" si="25"/>
        <v>1.009736615959181E-3</v>
      </c>
      <c r="AM24" s="12">
        <f t="shared" si="25"/>
        <v>1.0988986821381442E-3</v>
      </c>
      <c r="AN24" s="2"/>
      <c r="AO24" s="8" t="s">
        <v>35</v>
      </c>
      <c r="AP24" s="12">
        <f t="shared" si="26"/>
        <v>0.23613683001756383</v>
      </c>
      <c r="AQ24" s="12">
        <f t="shared" si="26"/>
        <v>2.6528233991206979E-2</v>
      </c>
      <c r="AR24" s="12">
        <f t="shared" si="26"/>
        <v>2.021931300850293E-2</v>
      </c>
      <c r="AS24" s="12">
        <f t="shared" si="26"/>
        <v>5.5079633412397501E-2</v>
      </c>
    </row>
    <row r="25" spans="2:45" x14ac:dyDescent="0.45">
      <c r="B25" s="1">
        <v>52.973726739999996</v>
      </c>
      <c r="C25" s="1">
        <v>50.163104519999997</v>
      </c>
      <c r="D25" s="1">
        <v>44.447013490000003</v>
      </c>
      <c r="E25" s="1">
        <v>95.993755579999998</v>
      </c>
      <c r="F25" s="1"/>
      <c r="G25" s="1"/>
      <c r="H25" s="1">
        <f t="shared" si="15"/>
        <v>1.8877282410355865</v>
      </c>
      <c r="I25" s="1">
        <f t="shared" si="6"/>
        <v>1.993497032467958</v>
      </c>
      <c r="J25" s="1">
        <f t="shared" si="16"/>
        <v>2.2498699495861221</v>
      </c>
      <c r="K25" s="1">
        <f t="shared" si="7"/>
        <v>1.0417344273676348</v>
      </c>
      <c r="L25" s="1"/>
      <c r="M25" s="1"/>
      <c r="N25" s="1">
        <v>52.886671418389099</v>
      </c>
      <c r="O25" s="1">
        <v>50.204750204750198</v>
      </c>
      <c r="P25" s="1">
        <v>44.404846756949397</v>
      </c>
      <c r="Q25" s="1">
        <v>95.659295659295594</v>
      </c>
      <c r="R25" s="1"/>
      <c r="S25" s="1"/>
      <c r="T25" s="1">
        <f t="shared" si="17"/>
        <v>1.8908355795148273</v>
      </c>
      <c r="U25" s="1">
        <f t="shared" si="18"/>
        <v>1.9918433931484505</v>
      </c>
      <c r="V25" s="1">
        <f t="shared" si="19"/>
        <v>2.2520064205457464</v>
      </c>
      <c r="W25" s="1">
        <f t="shared" si="8"/>
        <v>1.0453767123287678</v>
      </c>
      <c r="Y25" s="1">
        <f t="shared" si="20"/>
        <v>8.7055321610897352E-2</v>
      </c>
      <c r="Z25" s="1">
        <f t="shared" si="9"/>
        <v>-4.1645684750200473E-2</v>
      </c>
      <c r="AA25" s="1">
        <f t="shared" si="10"/>
        <v>4.2166733050606808E-2</v>
      </c>
      <c r="AB25" s="1">
        <f t="shared" si="11"/>
        <v>0.33445992070440411</v>
      </c>
      <c r="AC25" s="1"/>
      <c r="AD25" s="1">
        <f t="shared" si="21"/>
        <v>-3.1073384792408287E-3</v>
      </c>
      <c r="AE25" s="1">
        <f t="shared" si="12"/>
        <v>1.6536393195074606E-3</v>
      </c>
      <c r="AF25" s="1">
        <f t="shared" si="13"/>
        <v>-2.1364709596243259E-3</v>
      </c>
      <c r="AG25" s="1">
        <f t="shared" si="14"/>
        <v>-3.6422849611330577E-3</v>
      </c>
    </row>
    <row r="26" spans="2:45" x14ac:dyDescent="0.45">
      <c r="B26" s="1">
        <v>58.012670819999997</v>
      </c>
      <c r="C26" s="1">
        <v>7.7728632400000004</v>
      </c>
      <c r="D26" s="1">
        <v>51.38416505</v>
      </c>
      <c r="E26" s="1">
        <v>90.325306490000003</v>
      </c>
      <c r="F26" s="1"/>
      <c r="G26" s="1"/>
      <c r="H26" s="1">
        <f t="shared" si="15"/>
        <v>1.7237613539682917</v>
      </c>
      <c r="I26" s="1">
        <f t="shared" si="6"/>
        <v>12.865272025550265</v>
      </c>
      <c r="J26" s="1">
        <f t="shared" si="16"/>
        <v>1.946124840263411</v>
      </c>
      <c r="K26" s="1">
        <f t="shared" si="7"/>
        <v>1.1071094456908495</v>
      </c>
      <c r="L26" s="1"/>
      <c r="M26" s="1"/>
      <c r="N26" s="1">
        <v>58.018531717747599</v>
      </c>
      <c r="O26" s="1">
        <v>7.7805077805077696</v>
      </c>
      <c r="P26" s="1">
        <v>51.318602993585102</v>
      </c>
      <c r="Q26" s="1">
        <v>90.008190008189999</v>
      </c>
      <c r="R26" s="1"/>
      <c r="S26" s="1"/>
      <c r="T26" s="1">
        <f t="shared" ref="T26:T39" si="27">100/N26</f>
        <v>1.723587223587226</v>
      </c>
      <c r="U26" s="1">
        <f t="shared" ref="U26:U39" si="28">100/O26</f>
        <v>12.852631578947387</v>
      </c>
      <c r="V26" s="1">
        <f t="shared" si="19"/>
        <v>1.948611111111114</v>
      </c>
      <c r="W26" s="1">
        <f t="shared" si="8"/>
        <v>1.1110100090991812</v>
      </c>
      <c r="Y26" s="1">
        <f t="shared" si="20"/>
        <v>-5.860897747602678E-3</v>
      </c>
      <c r="Z26" s="1">
        <f t="shared" si="9"/>
        <v>-7.644540507769193E-3</v>
      </c>
      <c r="AA26" s="1">
        <f t="shared" si="10"/>
        <v>6.556205641489754E-2</v>
      </c>
      <c r="AB26" s="1">
        <f t="shared" si="11"/>
        <v>0.31711648181000385</v>
      </c>
      <c r="AC26" s="1"/>
      <c r="AD26" s="1">
        <f t="shared" si="21"/>
        <v>1.7413038106561807E-4</v>
      </c>
      <c r="AE26" s="1">
        <f t="shared" si="12"/>
        <v>1.2640446602878441E-2</v>
      </c>
      <c r="AF26" s="1">
        <f t="shared" si="13"/>
        <v>-2.4862708477029205E-3</v>
      </c>
      <c r="AG26" s="1">
        <f t="shared" si="14"/>
        <v>-3.9005634083317808E-3</v>
      </c>
    </row>
    <row r="27" spans="2:45" x14ac:dyDescent="0.45">
      <c r="B27" s="1">
        <v>62.685176329999997</v>
      </c>
      <c r="C27" s="1">
        <v>40.44524105</v>
      </c>
      <c r="D27" s="1">
        <v>60.009982839999999</v>
      </c>
      <c r="E27" s="1">
        <v>5.7628103299999998</v>
      </c>
      <c r="F27" s="1"/>
      <c r="G27" s="1"/>
      <c r="H27" s="1">
        <f t="shared" si="15"/>
        <v>1.5952734897571277</v>
      </c>
      <c r="I27" s="1">
        <f t="shared" si="6"/>
        <v>2.4724787738655349</v>
      </c>
      <c r="J27" s="1">
        <f t="shared" si="16"/>
        <v>1.6663894116854241</v>
      </c>
      <c r="K27" s="1">
        <f t="shared" si="7"/>
        <v>17.352644677445078</v>
      </c>
      <c r="L27" s="1"/>
      <c r="M27" s="1"/>
      <c r="N27" s="1">
        <v>62.651461154668503</v>
      </c>
      <c r="O27" s="1">
        <v>40.294840294840199</v>
      </c>
      <c r="P27" s="1">
        <v>60.014255167498199</v>
      </c>
      <c r="Q27" s="1">
        <v>5.4873054873054903</v>
      </c>
      <c r="R27" s="1"/>
      <c r="S27" s="1"/>
      <c r="T27" s="1">
        <f t="shared" si="27"/>
        <v>1.5961319681456216</v>
      </c>
      <c r="U27" s="1">
        <f t="shared" si="28"/>
        <v>2.4817073170731767</v>
      </c>
      <c r="V27" s="1">
        <f t="shared" si="19"/>
        <v>1.6662707838479816</v>
      </c>
      <c r="W27" s="1">
        <f t="shared" si="8"/>
        <v>18.223880597014915</v>
      </c>
      <c r="Y27" s="1">
        <f t="shared" si="20"/>
        <v>3.3715175331494152E-2</v>
      </c>
      <c r="Z27" s="1">
        <f t="shared" si="9"/>
        <v>0.15040075515980078</v>
      </c>
      <c r="AA27" s="1">
        <f t="shared" si="10"/>
        <v>-4.2723274981995019E-3</v>
      </c>
      <c r="AB27" s="1">
        <f t="shared" si="11"/>
        <v>0.27550484269450948</v>
      </c>
      <c r="AC27" s="1"/>
      <c r="AD27" s="1">
        <f t="shared" si="21"/>
        <v>-8.5847838849395508E-4</v>
      </c>
      <c r="AE27" s="1">
        <f t="shared" si="12"/>
        <v>-9.2285432076417706E-3</v>
      </c>
      <c r="AF27" s="1">
        <f t="shared" si="13"/>
        <v>1.1862783744254202E-4</v>
      </c>
      <c r="AG27" s="1">
        <f t="shared" si="14"/>
        <v>-0.87123591956983759</v>
      </c>
    </row>
    <row r="28" spans="2:45" x14ac:dyDescent="0.45">
      <c r="B28" s="1">
        <v>63.242376</v>
      </c>
      <c r="C28" s="1">
        <v>9.9903950600000009</v>
      </c>
      <c r="D28" s="1">
        <v>62.578584730000003</v>
      </c>
      <c r="E28" s="1">
        <v>94.226337439999995</v>
      </c>
      <c r="F28" s="1"/>
      <c r="G28" s="1"/>
      <c r="H28" s="1">
        <f t="shared" si="15"/>
        <v>1.5812182641588293</v>
      </c>
      <c r="I28" s="1">
        <f t="shared" si="6"/>
        <v>10.009614174356784</v>
      </c>
      <c r="J28" s="1">
        <f t="shared" si="16"/>
        <v>1.5979907572447907</v>
      </c>
      <c r="K28" s="1">
        <f t="shared" si="7"/>
        <v>1.0612744028565948</v>
      </c>
      <c r="L28" s="1"/>
      <c r="M28" s="1"/>
      <c r="N28" s="1">
        <v>63.2216678545973</v>
      </c>
      <c r="O28" s="1">
        <v>9.9099099099098797</v>
      </c>
      <c r="P28" s="1">
        <v>62.508909479686302</v>
      </c>
      <c r="Q28" s="1">
        <v>93.857493857493793</v>
      </c>
      <c r="R28" s="1"/>
      <c r="S28" s="1"/>
      <c r="T28" s="1">
        <f t="shared" si="27"/>
        <v>1.5817361894024802</v>
      </c>
      <c r="U28" s="1">
        <f t="shared" si="28"/>
        <v>10.090909090909122</v>
      </c>
      <c r="V28" s="1">
        <f t="shared" si="19"/>
        <v>1.5997719498289644</v>
      </c>
      <c r="W28" s="1">
        <f t="shared" si="8"/>
        <v>1.0654450261780113</v>
      </c>
      <c r="Y28" s="1">
        <f t="shared" si="20"/>
        <v>2.0708145402700495E-2</v>
      </c>
      <c r="Z28" s="1">
        <f t="shared" si="9"/>
        <v>8.0485150090121138E-2</v>
      </c>
      <c r="AA28" s="1">
        <f t="shared" si="10"/>
        <v>6.9675250313700587E-2</v>
      </c>
      <c r="AB28" s="1">
        <f t="shared" si="11"/>
        <v>0.36884358250620153</v>
      </c>
      <c r="AC28" s="1"/>
      <c r="AD28" s="1">
        <f t="shared" si="21"/>
        <v>-5.1792524365090742E-4</v>
      </c>
      <c r="AE28" s="1">
        <f t="shared" si="12"/>
        <v>-8.1294916552337781E-2</v>
      </c>
      <c r="AF28" s="1">
        <f t="shared" si="13"/>
        <v>-1.7811925841737519E-3</v>
      </c>
      <c r="AG28" s="1">
        <f t="shared" si="14"/>
        <v>-4.1706233214164889E-3</v>
      </c>
      <c r="AJ28" s="1"/>
      <c r="AK28" s="1"/>
      <c r="AL28" s="1"/>
      <c r="AM28" s="1"/>
      <c r="AN28" s="1"/>
      <c r="AP28" s="1"/>
      <c r="AQ28" s="1"/>
      <c r="AR28" s="1"/>
    </row>
    <row r="29" spans="2:45" x14ac:dyDescent="0.45">
      <c r="B29" s="1">
        <v>68.567099420000005</v>
      </c>
      <c r="C29" s="1">
        <v>86.439467100000002</v>
      </c>
      <c r="D29" s="1">
        <v>64.363807420000001</v>
      </c>
      <c r="E29" s="1">
        <v>36.969616909999999</v>
      </c>
      <c r="F29" s="1"/>
      <c r="G29" s="1"/>
      <c r="H29" s="1">
        <f t="shared" si="15"/>
        <v>1.4584254087731103</v>
      </c>
      <c r="I29" s="1">
        <f t="shared" si="6"/>
        <v>1.1568789507264328</v>
      </c>
      <c r="J29" s="1">
        <f t="shared" si="16"/>
        <v>1.5536681872695839</v>
      </c>
      <c r="K29" s="1">
        <f t="shared" si="7"/>
        <v>2.7049238904325992</v>
      </c>
      <c r="L29" s="1"/>
      <c r="M29" s="1"/>
      <c r="N29" s="1">
        <v>68.567355666428995</v>
      </c>
      <c r="O29" s="1">
        <v>86.404586404586396</v>
      </c>
      <c r="P29" s="1">
        <v>64.290805416963593</v>
      </c>
      <c r="Q29" s="1">
        <v>36.691236691236597</v>
      </c>
      <c r="R29" s="1"/>
      <c r="S29" s="1"/>
      <c r="T29" s="1">
        <f t="shared" si="27"/>
        <v>1.4584199584199602</v>
      </c>
      <c r="U29" s="1">
        <f t="shared" si="28"/>
        <v>1.1573459715639811</v>
      </c>
      <c r="V29" s="1">
        <f t="shared" si="19"/>
        <v>1.5554323725055446</v>
      </c>
      <c r="W29" s="1">
        <f t="shared" si="8"/>
        <v>2.7254464285714355</v>
      </c>
      <c r="Y29" s="1">
        <f t="shared" si="20"/>
        <v>-2.5624642898947059E-4</v>
      </c>
      <c r="Z29" s="1">
        <f t="shared" si="9"/>
        <v>3.4880695413605167E-2</v>
      </c>
      <c r="AA29" s="1">
        <f t="shared" si="10"/>
        <v>7.3002003036407359E-2</v>
      </c>
      <c r="AB29" s="1">
        <f t="shared" si="11"/>
        <v>0.27838021876340235</v>
      </c>
      <c r="AC29" s="1"/>
      <c r="AD29" s="1">
        <f t="shared" si="21"/>
        <v>5.4503531501381985E-6</v>
      </c>
      <c r="AE29" s="1">
        <f t="shared" si="12"/>
        <v>-4.6702083754834867E-4</v>
      </c>
      <c r="AF29" s="1">
        <f t="shared" si="13"/>
        <v>-1.7641852359606691E-3</v>
      </c>
      <c r="AG29" s="1">
        <f t="shared" si="14"/>
        <v>-2.052253813883631E-2</v>
      </c>
      <c r="AJ29" s="1"/>
      <c r="AK29" s="1"/>
      <c r="AL29" s="1"/>
      <c r="AM29" s="1"/>
      <c r="AN29" s="1"/>
      <c r="AP29" s="1"/>
      <c r="AQ29" s="1"/>
      <c r="AR29" s="1"/>
    </row>
    <row r="30" spans="2:45" x14ac:dyDescent="0.45">
      <c r="B30" s="1">
        <v>70.527367060000003</v>
      </c>
      <c r="C30" s="1">
        <v>9.8973420500000007</v>
      </c>
      <c r="D30" s="1">
        <v>71.157373160000006</v>
      </c>
      <c r="E30" s="1">
        <v>41.489078620000001</v>
      </c>
      <c r="F30" s="1"/>
      <c r="G30" s="1"/>
      <c r="H30" s="1">
        <f t="shared" si="15"/>
        <v>1.4178893125972878</v>
      </c>
      <c r="I30" s="1">
        <f t="shared" si="6"/>
        <v>10.103722746451911</v>
      </c>
      <c r="J30" s="1">
        <f t="shared" si="16"/>
        <v>1.4053357446901007</v>
      </c>
      <c r="K30" s="1">
        <f t="shared" si="7"/>
        <v>2.4102728555604642</v>
      </c>
      <c r="L30" s="1"/>
      <c r="M30" s="1"/>
      <c r="N30" s="1">
        <v>70.420527441197393</v>
      </c>
      <c r="O30" s="1">
        <v>9.9099099099098797</v>
      </c>
      <c r="P30" s="1">
        <v>71.062009978617198</v>
      </c>
      <c r="Q30" s="1">
        <v>41.1957411957411</v>
      </c>
      <c r="R30" s="1"/>
      <c r="S30" s="1"/>
      <c r="T30" s="1">
        <f t="shared" si="27"/>
        <v>1.4200404858299602</v>
      </c>
      <c r="U30" s="1">
        <f t="shared" si="28"/>
        <v>10.090909090909122</v>
      </c>
      <c r="V30" s="1">
        <f t="shared" si="19"/>
        <v>1.407221664994986</v>
      </c>
      <c r="W30" s="1">
        <f t="shared" si="8"/>
        <v>2.4274353876739618</v>
      </c>
      <c r="Y30" s="1">
        <f t="shared" si="20"/>
        <v>0.10683961880260995</v>
      </c>
      <c r="Z30" s="1">
        <f t="shared" si="9"/>
        <v>-1.2567859909879076E-2</v>
      </c>
      <c r="AA30" s="1">
        <f t="shared" si="10"/>
        <v>9.5363181382808193E-2</v>
      </c>
      <c r="AB30" s="1">
        <f t="shared" si="11"/>
        <v>0.29333742425890108</v>
      </c>
      <c r="AC30" s="1"/>
      <c r="AD30" s="1">
        <f t="shared" si="21"/>
        <v>-2.1511732326724431E-3</v>
      </c>
      <c r="AE30" s="1">
        <f t="shared" si="12"/>
        <v>1.2813655542789348E-2</v>
      </c>
      <c r="AF30" s="1">
        <f t="shared" si="13"/>
        <v>-1.8859203048853246E-3</v>
      </c>
      <c r="AG30" s="1">
        <f t="shared" si="14"/>
        <v>-1.7162532113497608E-2</v>
      </c>
      <c r="AJ30" s="1"/>
      <c r="AK30" s="1"/>
      <c r="AL30" s="1"/>
      <c r="AM30" s="1"/>
      <c r="AN30" s="1"/>
      <c r="AP30" s="1"/>
      <c r="AQ30" s="1"/>
      <c r="AR30" s="1"/>
    </row>
    <row r="31" spans="2:45" x14ac:dyDescent="0.45">
      <c r="B31" s="1">
        <v>73.09919721</v>
      </c>
      <c r="C31" s="1">
        <v>75.544075890000002</v>
      </c>
      <c r="D31" s="1">
        <v>76.243410060000002</v>
      </c>
      <c r="E31" s="1">
        <v>14.96774946</v>
      </c>
      <c r="F31" s="1"/>
      <c r="G31" s="1"/>
      <c r="H31" s="1">
        <f t="shared" si="15"/>
        <v>1.3680040796168957</v>
      </c>
      <c r="I31" s="1">
        <f t="shared" si="6"/>
        <v>1.3237305350800816</v>
      </c>
      <c r="J31" s="1">
        <f t="shared" si="16"/>
        <v>1.3115887644755746</v>
      </c>
      <c r="K31" s="1">
        <f t="shared" si="7"/>
        <v>6.6810311241006035</v>
      </c>
      <c r="L31" s="1"/>
      <c r="M31" s="1"/>
      <c r="N31" s="1">
        <v>73.057733428367698</v>
      </c>
      <c r="O31" s="1">
        <v>75.511875511875502</v>
      </c>
      <c r="P31" s="1">
        <v>76.193870277975705</v>
      </c>
      <c r="Q31" s="1">
        <v>14.7420147420147</v>
      </c>
      <c r="R31" s="1"/>
      <c r="S31" s="1"/>
      <c r="T31" s="1">
        <f t="shared" si="27"/>
        <v>1.3687804878048797</v>
      </c>
      <c r="U31" s="1">
        <f t="shared" si="28"/>
        <v>1.3242950108459872</v>
      </c>
      <c r="V31" s="1">
        <f t="shared" si="19"/>
        <v>1.312441534144061</v>
      </c>
      <c r="W31" s="1">
        <f t="shared" si="8"/>
        <v>6.7833333333333528</v>
      </c>
      <c r="Y31" s="1">
        <f t="shared" si="20"/>
        <v>4.1463781632302243E-2</v>
      </c>
      <c r="Z31" s="1">
        <f t="shared" si="9"/>
        <v>3.2200378124500162E-2</v>
      </c>
      <c r="AA31" s="1">
        <f t="shared" si="10"/>
        <v>4.9539782024297097E-2</v>
      </c>
      <c r="AB31" s="1">
        <f t="shared" si="11"/>
        <v>0.22573471798530065</v>
      </c>
      <c r="AC31" s="1"/>
      <c r="AD31" s="1">
        <f t="shared" si="21"/>
        <v>-7.7640818798396793E-4</v>
      </c>
      <c r="AE31" s="1">
        <f t="shared" si="12"/>
        <v>-5.6447576590556992E-4</v>
      </c>
      <c r="AF31" s="1">
        <f t="shared" si="13"/>
        <v>-8.5276966848635283E-4</v>
      </c>
      <c r="AG31" s="1">
        <f t="shared" si="14"/>
        <v>-0.10230220923274924</v>
      </c>
      <c r="AJ31" s="1"/>
      <c r="AK31" s="1"/>
      <c r="AL31" s="1"/>
      <c r="AM31" s="1"/>
      <c r="AN31" s="1"/>
      <c r="AP31" s="1"/>
      <c r="AQ31" s="1"/>
      <c r="AR31" s="1"/>
    </row>
    <row r="32" spans="2:45" x14ac:dyDescent="0.45">
      <c r="B32" s="1">
        <v>74.649008069999994</v>
      </c>
      <c r="C32" s="1">
        <v>45.648163019999998</v>
      </c>
      <c r="D32" s="1">
        <v>80.086028819999996</v>
      </c>
      <c r="E32" s="1">
        <v>80.646634509999998</v>
      </c>
      <c r="F32" s="1"/>
      <c r="G32" s="1"/>
      <c r="H32" s="1">
        <f t="shared" si="15"/>
        <v>1.3396025290279521</v>
      </c>
      <c r="I32" s="1">
        <f t="shared" si="6"/>
        <v>2.1906686574920142</v>
      </c>
      <c r="J32" s="1">
        <f t="shared" si="16"/>
        <v>1.2486572436343211</v>
      </c>
      <c r="K32" s="1">
        <f t="shared" si="7"/>
        <v>1.2399773481880416</v>
      </c>
      <c r="L32" s="1"/>
      <c r="M32" s="1"/>
      <c r="N32" s="1">
        <v>74.554526015680594</v>
      </c>
      <c r="O32" s="1">
        <v>45.536445536445498</v>
      </c>
      <c r="P32" s="1">
        <v>80.042765502494603</v>
      </c>
      <c r="Q32" s="1">
        <v>80.343980343980306</v>
      </c>
      <c r="R32" s="1"/>
      <c r="S32" s="1"/>
      <c r="T32" s="1">
        <f t="shared" si="27"/>
        <v>1.3413001912045905</v>
      </c>
      <c r="U32" s="1">
        <f t="shared" si="28"/>
        <v>2.1960431654676276</v>
      </c>
      <c r="V32" s="1">
        <f t="shared" si="19"/>
        <v>1.2493321460374007</v>
      </c>
      <c r="W32" s="1">
        <f t="shared" si="8"/>
        <v>1.2446483180428141</v>
      </c>
      <c r="Y32" s="1">
        <f t="shared" si="20"/>
        <v>9.4482054319399822E-2</v>
      </c>
      <c r="Z32" s="1">
        <f t="shared" si="9"/>
        <v>0.11171748355450006</v>
      </c>
      <c r="AA32" s="1">
        <f t="shared" si="10"/>
        <v>4.3263317505392251E-2</v>
      </c>
      <c r="AB32" s="1">
        <f t="shared" si="11"/>
        <v>0.30265416601969264</v>
      </c>
      <c r="AC32" s="1"/>
      <c r="AD32" s="1">
        <f t="shared" si="21"/>
        <v>-1.6976621766384703E-3</v>
      </c>
      <c r="AE32" s="1">
        <f t="shared" si="12"/>
        <v>-5.3745079756133407E-3</v>
      </c>
      <c r="AF32" s="1">
        <f t="shared" si="13"/>
        <v>-6.7490240307965799E-4</v>
      </c>
      <c r="AG32" s="1">
        <f t="shared" si="14"/>
        <v>-4.6709698547724443E-3</v>
      </c>
      <c r="AJ32" s="1"/>
      <c r="AK32" s="1"/>
      <c r="AL32" s="1"/>
      <c r="AM32" s="1"/>
      <c r="AN32" s="1"/>
      <c r="AP32" s="1"/>
      <c r="AQ32" s="1"/>
      <c r="AR32" s="1"/>
    </row>
    <row r="33" spans="2:44" x14ac:dyDescent="0.45">
      <c r="B33" s="1">
        <v>75.305004940000003</v>
      </c>
      <c r="C33" s="1">
        <v>18.812156009999999</v>
      </c>
      <c r="D33" s="1">
        <v>86.466004900000001</v>
      </c>
      <c r="E33" s="1">
        <v>46.135918760000003</v>
      </c>
      <c r="F33" s="1"/>
      <c r="G33" s="1"/>
      <c r="H33" s="1">
        <f t="shared" si="15"/>
        <v>1.3279329850608996</v>
      </c>
      <c r="I33" s="1">
        <f t="shared" si="6"/>
        <v>5.3157118167020778</v>
      </c>
      <c r="J33" s="1">
        <f t="shared" si="16"/>
        <v>1.1565238860712066</v>
      </c>
      <c r="K33" s="1">
        <f t="shared" si="7"/>
        <v>2.1675085852349025</v>
      </c>
      <c r="L33" s="1"/>
      <c r="M33" s="1"/>
      <c r="N33" s="1">
        <v>75.196008553100398</v>
      </c>
      <c r="O33" s="1">
        <v>18.8370188370188</v>
      </c>
      <c r="P33" s="1">
        <v>86.457590876692805</v>
      </c>
      <c r="Q33" s="1">
        <v>45.782145782145697</v>
      </c>
      <c r="R33" s="1"/>
      <c r="S33" s="1"/>
      <c r="T33" s="1">
        <f t="shared" si="27"/>
        <v>1.3298578199052151</v>
      </c>
      <c r="U33" s="1">
        <f t="shared" si="28"/>
        <v>5.3086956521739239</v>
      </c>
      <c r="V33" s="1">
        <f t="shared" si="19"/>
        <v>1.156636438582028</v>
      </c>
      <c r="W33" s="1">
        <f t="shared" si="8"/>
        <v>2.184257602862258</v>
      </c>
      <c r="Y33" s="1">
        <f t="shared" si="20"/>
        <v>0.10899638689960511</v>
      </c>
      <c r="Z33" s="1">
        <f t="shared" si="9"/>
        <v>-2.4862827018800715E-2</v>
      </c>
      <c r="AA33" s="1">
        <f t="shared" si="10"/>
        <v>8.4140233071963166E-3</v>
      </c>
      <c r="AB33" s="1">
        <f t="shared" si="11"/>
        <v>0.35377297785430528</v>
      </c>
      <c r="AC33" s="1"/>
      <c r="AD33" s="1">
        <f t="shared" si="21"/>
        <v>-1.9248348443154928E-3</v>
      </c>
      <c r="AE33" s="1">
        <f t="shared" si="12"/>
        <v>7.0161645281539009E-3</v>
      </c>
      <c r="AF33" s="1">
        <f t="shared" si="13"/>
        <v>-1.125525108214287E-4</v>
      </c>
      <c r="AG33" s="1">
        <f t="shared" si="14"/>
        <v>-1.6749017627355478E-2</v>
      </c>
      <c r="AJ33" s="1"/>
      <c r="AK33" s="1"/>
      <c r="AL33" s="1"/>
      <c r="AM33" s="1"/>
      <c r="AN33" s="1"/>
      <c r="AP33" s="1"/>
      <c r="AQ33" s="1"/>
      <c r="AR33" s="1"/>
    </row>
    <row r="34" spans="2:44" x14ac:dyDescent="0.45">
      <c r="B34" s="1">
        <v>83.516144100000005</v>
      </c>
      <c r="C34" s="1">
        <v>14.76994122</v>
      </c>
      <c r="D34" s="1">
        <v>87.039755880000001</v>
      </c>
      <c r="E34" s="1">
        <v>84.39159085</v>
      </c>
      <c r="F34" s="1"/>
      <c r="G34" s="1"/>
      <c r="H34" s="1">
        <f t="shared" si="15"/>
        <v>1.1973732872564455</v>
      </c>
      <c r="I34" s="1">
        <f t="shared" si="6"/>
        <v>6.7705076486418134</v>
      </c>
      <c r="J34" s="1">
        <f t="shared" si="16"/>
        <v>1.1489002811297866</v>
      </c>
      <c r="K34" s="1">
        <f t="shared" si="7"/>
        <v>1.1849521853159852</v>
      </c>
      <c r="L34" s="1"/>
      <c r="M34" s="1"/>
      <c r="N34" s="1">
        <v>83.535281539558</v>
      </c>
      <c r="O34" s="1">
        <v>14.7420147420147</v>
      </c>
      <c r="P34" s="1">
        <v>87.027797576621495</v>
      </c>
      <c r="Q34" s="1">
        <v>84.029484029483996</v>
      </c>
      <c r="R34" s="1"/>
      <c r="S34" s="1"/>
      <c r="T34" s="1">
        <f t="shared" si="27"/>
        <v>1.1970989761092163</v>
      </c>
      <c r="U34" s="1">
        <f t="shared" si="28"/>
        <v>6.7833333333333528</v>
      </c>
      <c r="V34" s="1">
        <f t="shared" si="19"/>
        <v>1.1490581490581495</v>
      </c>
      <c r="W34" s="1">
        <f t="shared" si="8"/>
        <v>1.1900584795321643</v>
      </c>
      <c r="Y34" s="1">
        <f t="shared" si="20"/>
        <v>-1.9137439557994185E-2</v>
      </c>
      <c r="Z34" s="1">
        <f t="shared" si="9"/>
        <v>2.7926477985300124E-2</v>
      </c>
      <c r="AA34" s="1">
        <f t="shared" si="10"/>
        <v>1.195830337850623E-2</v>
      </c>
      <c r="AB34" s="1">
        <f t="shared" si="11"/>
        <v>0.36210682051600429</v>
      </c>
      <c r="AC34" s="1"/>
      <c r="AD34" s="1">
        <f t="shared" si="21"/>
        <v>2.7431114722920036E-4</v>
      </c>
      <c r="AE34" s="1">
        <f t="shared" si="12"/>
        <v>-1.282568469153933E-2</v>
      </c>
      <c r="AF34" s="1">
        <f t="shared" si="13"/>
        <v>-1.578679283629203E-4</v>
      </c>
      <c r="AG34" s="1">
        <f t="shared" si="14"/>
        <v>-5.1062942161790303E-3</v>
      </c>
      <c r="AJ34" s="1"/>
      <c r="AK34" s="1"/>
      <c r="AL34" s="1"/>
      <c r="AM34" s="1"/>
      <c r="AN34" s="1"/>
      <c r="AP34" s="1"/>
      <c r="AQ34" s="1"/>
      <c r="AR34" s="1"/>
    </row>
    <row r="35" spans="2:44" x14ac:dyDescent="0.45">
      <c r="B35" s="1">
        <v>84.433256999999998</v>
      </c>
      <c r="C35" s="1">
        <v>65.362389870000001</v>
      </c>
      <c r="D35" s="1">
        <v>88.552876400000002</v>
      </c>
      <c r="E35" s="1">
        <v>65.141990329999999</v>
      </c>
      <c r="F35" s="1"/>
      <c r="G35" s="1"/>
      <c r="H35" s="1">
        <f t="shared" si="15"/>
        <v>1.1843674347419761</v>
      </c>
      <c r="I35" s="1">
        <f t="shared" si="6"/>
        <v>1.5299318185716761</v>
      </c>
      <c r="J35" s="1">
        <f t="shared" si="16"/>
        <v>1.1292687947062552</v>
      </c>
      <c r="K35" s="1">
        <f t="shared" si="7"/>
        <v>1.5351081459656715</v>
      </c>
      <c r="L35" s="1"/>
      <c r="M35" s="1"/>
      <c r="N35" s="1">
        <v>84.319315751960005</v>
      </c>
      <c r="O35" s="1">
        <v>65.356265356265297</v>
      </c>
      <c r="P35" s="1">
        <v>88.453314326443305</v>
      </c>
      <c r="Q35" s="1">
        <v>64.864864864864799</v>
      </c>
      <c r="R35" s="1"/>
      <c r="S35" s="1"/>
      <c r="T35" s="1">
        <f t="shared" si="27"/>
        <v>1.1859678782755718</v>
      </c>
      <c r="U35" s="1">
        <f t="shared" si="28"/>
        <v>1.5300751879699261</v>
      </c>
      <c r="V35" s="1">
        <f t="shared" si="19"/>
        <v>1.1305398871877521</v>
      </c>
      <c r="W35" s="1">
        <f t="shared" si="8"/>
        <v>1.5416666666666683</v>
      </c>
      <c r="Y35" s="1">
        <f t="shared" si="20"/>
        <v>0.11394124803999262</v>
      </c>
      <c r="Z35" s="1">
        <f t="shared" si="9"/>
        <v>6.124513734704351E-3</v>
      </c>
      <c r="AA35" s="1">
        <f t="shared" si="10"/>
        <v>9.9562073556697328E-2</v>
      </c>
      <c r="AB35" s="1">
        <f t="shared" si="11"/>
        <v>0.27712546513519953</v>
      </c>
      <c r="AC35" s="1"/>
      <c r="AD35" s="1">
        <f t="shared" si="21"/>
        <v>-1.6004435335956746E-3</v>
      </c>
      <c r="AE35" s="1">
        <f t="shared" si="12"/>
        <v>-1.4336939824999284E-4</v>
      </c>
      <c r="AF35" s="1">
        <f t="shared" si="13"/>
        <v>-1.2710924814969271E-3</v>
      </c>
      <c r="AG35" s="1">
        <f t="shared" si="14"/>
        <v>-6.5585207009968283E-3</v>
      </c>
      <c r="AJ35" s="1"/>
      <c r="AK35" s="1"/>
      <c r="AL35" s="1"/>
      <c r="AM35" s="1"/>
      <c r="AN35" s="1"/>
      <c r="AP35" s="1"/>
      <c r="AQ35" s="1"/>
      <c r="AR35" s="1"/>
    </row>
    <row r="36" spans="2:44" x14ac:dyDescent="0.45">
      <c r="B36" s="1">
        <v>92.083094310000007</v>
      </c>
      <c r="C36" s="1">
        <v>20.318370720000001</v>
      </c>
      <c r="D36" s="1">
        <v>90.065061180000001</v>
      </c>
      <c r="E36" s="1">
        <v>42.001526210000002</v>
      </c>
      <c r="F36" s="1"/>
      <c r="G36" s="1"/>
      <c r="H36" s="1">
        <f t="shared" si="15"/>
        <v>1.0859756695767362</v>
      </c>
      <c r="I36" s="1">
        <f t="shared" si="6"/>
        <v>4.9216544662002306</v>
      </c>
      <c r="J36" s="1">
        <f t="shared" si="16"/>
        <v>1.1103084668997723</v>
      </c>
      <c r="K36" s="1">
        <f t="shared" si="7"/>
        <v>2.3808658642549836</v>
      </c>
      <c r="L36" s="1"/>
      <c r="M36" s="1"/>
      <c r="N36" s="1">
        <v>92.088382038488902</v>
      </c>
      <c r="O36" s="1">
        <v>20.229320229320201</v>
      </c>
      <c r="P36" s="1">
        <v>90.092658588738402</v>
      </c>
      <c r="Q36" s="1">
        <v>41.769041769041699</v>
      </c>
      <c r="R36" s="1"/>
      <c r="S36" s="1"/>
      <c r="T36" s="1">
        <f t="shared" si="27"/>
        <v>1.085913312693499</v>
      </c>
      <c r="U36" s="1">
        <f t="shared" si="28"/>
        <v>4.943319838056687</v>
      </c>
      <c r="V36" s="1">
        <f t="shared" si="19"/>
        <v>1.10996835443038</v>
      </c>
      <c r="W36" s="1">
        <f t="shared" si="8"/>
        <v>2.3941176470588275</v>
      </c>
      <c r="Y36" s="1">
        <f t="shared" si="20"/>
        <v>-5.2877284888950271E-3</v>
      </c>
      <c r="Z36" s="1">
        <f t="shared" si="9"/>
        <v>8.905049067979931E-2</v>
      </c>
      <c r="AA36" s="1">
        <f t="shared" si="10"/>
        <v>-2.7597408738401441E-2</v>
      </c>
      <c r="AB36" s="1">
        <f t="shared" si="11"/>
        <v>0.23248444095830223</v>
      </c>
      <c r="AC36" s="1"/>
      <c r="AD36" s="1">
        <f t="shared" si="21"/>
        <v>6.2356883237191241E-5</v>
      </c>
      <c r="AE36" s="1">
        <f t="shared" si="12"/>
        <v>-2.1665371856456339E-2</v>
      </c>
      <c r="AF36" s="1">
        <f t="shared" si="13"/>
        <v>3.4011246939225082E-4</v>
      </c>
      <c r="AG36" s="1">
        <f t="shared" si="14"/>
        <v>-1.325178280384387E-2</v>
      </c>
      <c r="AJ36" s="1"/>
      <c r="AK36" s="1"/>
      <c r="AL36" s="1"/>
      <c r="AM36" s="1"/>
      <c r="AN36" s="1"/>
      <c r="AP36" s="1"/>
      <c r="AQ36" s="1"/>
      <c r="AR36" s="1"/>
    </row>
    <row r="37" spans="2:44" x14ac:dyDescent="0.45">
      <c r="B37" s="1">
        <v>94.165881420000005</v>
      </c>
      <c r="C37" s="1">
        <v>73.434012629999998</v>
      </c>
      <c r="D37" s="1">
        <v>92.379606499999994</v>
      </c>
      <c r="E37" s="1">
        <v>49.231494779999998</v>
      </c>
      <c r="F37" s="1"/>
      <c r="G37" s="1"/>
      <c r="H37" s="1">
        <f t="shared" si="15"/>
        <v>1.0619557582005585</v>
      </c>
      <c r="I37" s="1">
        <f t="shared" si="6"/>
        <v>1.3617667946848242</v>
      </c>
      <c r="J37" s="1">
        <f t="shared" si="16"/>
        <v>1.0824899974000215</v>
      </c>
      <c r="K37" s="1">
        <f t="shared" si="7"/>
        <v>2.0312200644499709</v>
      </c>
      <c r="L37" s="1"/>
      <c r="M37" s="1"/>
      <c r="N37" s="1">
        <v>94.084105488239402</v>
      </c>
      <c r="O37" s="1">
        <v>73.382473382473293</v>
      </c>
      <c r="P37" s="1">
        <v>92.373485388453304</v>
      </c>
      <c r="Q37" s="1">
        <v>48.976248976248897</v>
      </c>
      <c r="R37" s="1"/>
      <c r="S37" s="1"/>
      <c r="T37" s="1">
        <f t="shared" si="27"/>
        <v>1.0628787878787889</v>
      </c>
      <c r="U37" s="1">
        <f t="shared" si="28"/>
        <v>1.362723214285716</v>
      </c>
      <c r="V37" s="1">
        <f t="shared" si="19"/>
        <v>1.0825617283950619</v>
      </c>
      <c r="W37" s="1">
        <f t="shared" si="8"/>
        <v>2.0418060200668928</v>
      </c>
      <c r="Y37" s="1">
        <f t="shared" si="20"/>
        <v>8.1775931760603271E-2</v>
      </c>
      <c r="Z37" s="1">
        <f t="shared" si="9"/>
        <v>5.1539247526704912E-2</v>
      </c>
      <c r="AA37" s="1">
        <f t="shared" si="10"/>
        <v>6.1211115466903721E-3</v>
      </c>
      <c r="AB37" s="1">
        <f t="shared" si="11"/>
        <v>0.25524580375110162</v>
      </c>
      <c r="AC37" s="1"/>
      <c r="AD37" s="1">
        <f t="shared" si="21"/>
        <v>-9.2302967823032489E-4</v>
      </c>
      <c r="AE37" s="1">
        <f t="shared" si="12"/>
        <v>-9.5641960089176692E-4</v>
      </c>
      <c r="AF37" s="1">
        <f t="shared" si="13"/>
        <v>-7.1730995040431011E-5</v>
      </c>
      <c r="AG37" s="1">
        <f t="shared" si="14"/>
        <v>-1.0585955616921883E-2</v>
      </c>
      <c r="AJ37" s="1"/>
      <c r="AK37" s="1"/>
      <c r="AL37" s="1"/>
      <c r="AM37" s="1"/>
      <c r="AN37" s="1"/>
      <c r="AP37" s="1"/>
      <c r="AQ37" s="1"/>
      <c r="AR37" s="1"/>
    </row>
    <row r="38" spans="2:44" x14ac:dyDescent="0.45">
      <c r="B38" s="1">
        <v>97.159661510000007</v>
      </c>
      <c r="C38" s="1">
        <v>77.470230670000007</v>
      </c>
      <c r="D38" s="1">
        <v>92.488305139999994</v>
      </c>
      <c r="E38" s="1">
        <v>82.208195919999994</v>
      </c>
      <c r="F38" s="1"/>
      <c r="G38" s="1"/>
      <c r="H38" s="1">
        <f t="shared" si="15"/>
        <v>1.0292337215451051</v>
      </c>
      <c r="I38" s="1">
        <f t="shared" si="6"/>
        <v>1.2908184103126021</v>
      </c>
      <c r="J38" s="1">
        <f t="shared" si="16"/>
        <v>1.0812177804386134</v>
      </c>
      <c r="K38" s="1">
        <f t="shared" si="7"/>
        <v>1.216423726136916</v>
      </c>
      <c r="L38" s="1"/>
      <c r="M38" s="1"/>
      <c r="N38" s="1">
        <v>97.148966500356295</v>
      </c>
      <c r="O38" s="1">
        <v>77.313677313677303</v>
      </c>
      <c r="P38" s="1">
        <v>92.516037063435405</v>
      </c>
      <c r="Q38" s="1">
        <v>81.900081900081901</v>
      </c>
      <c r="R38" s="1"/>
      <c r="S38" s="1"/>
      <c r="T38" s="1">
        <f t="shared" si="27"/>
        <v>1.0293470286133537</v>
      </c>
      <c r="U38" s="1">
        <f t="shared" si="28"/>
        <v>1.2934322033898307</v>
      </c>
      <c r="V38" s="1">
        <f t="shared" si="19"/>
        <v>1.0808936825885989</v>
      </c>
      <c r="W38" s="1">
        <f t="shared" si="8"/>
        <v>1.2210000000000001</v>
      </c>
      <c r="Y38" s="1">
        <f t="shared" si="20"/>
        <v>1.0695009643711728E-2</v>
      </c>
      <c r="Z38" s="1">
        <f t="shared" si="9"/>
        <v>0.15655335632270351</v>
      </c>
      <c r="AA38" s="1">
        <f t="shared" si="10"/>
        <v>-2.7731923435410977E-2</v>
      </c>
      <c r="AB38" s="1">
        <f t="shared" si="11"/>
        <v>0.30811401991809362</v>
      </c>
      <c r="AC38" s="1"/>
      <c r="AD38" s="1">
        <f t="shared" si="21"/>
        <v>-1.133070682486359E-4</v>
      </c>
      <c r="AE38" s="1">
        <f t="shared" si="12"/>
        <v>-2.6137930772285323E-3</v>
      </c>
      <c r="AF38" s="1">
        <f t="shared" si="13"/>
        <v>3.240978500145264E-4</v>
      </c>
      <c r="AG38" s="1">
        <f t="shared" si="14"/>
        <v>-4.5762738630841238E-3</v>
      </c>
      <c r="AJ38" s="1"/>
      <c r="AK38" s="1"/>
      <c r="AL38" s="1"/>
      <c r="AM38" s="1"/>
      <c r="AN38" s="1"/>
      <c r="AP38" s="1"/>
      <c r="AQ38" s="1"/>
      <c r="AR38" s="1"/>
    </row>
    <row r="39" spans="2:44" x14ac:dyDescent="0.45">
      <c r="B39" s="1">
        <v>99.480866559999996</v>
      </c>
      <c r="C39" s="1">
        <v>32.573496310000003</v>
      </c>
      <c r="D39" s="1">
        <v>99.320035300000001</v>
      </c>
      <c r="E39" s="1">
        <v>22.270388629999999</v>
      </c>
      <c r="F39" s="1"/>
      <c r="G39" s="1"/>
      <c r="H39" s="1">
        <f t="shared" si="15"/>
        <v>1.00521842498916</v>
      </c>
      <c r="I39" s="1">
        <f t="shared" si="6"/>
        <v>3.0699805464020815</v>
      </c>
      <c r="J39" s="1">
        <f t="shared" si="16"/>
        <v>1.0068461987346877</v>
      </c>
      <c r="K39" s="1">
        <f t="shared" si="7"/>
        <v>4.4902673977270418</v>
      </c>
      <c r="L39" s="1"/>
      <c r="M39" s="1"/>
      <c r="N39" s="1">
        <v>99.429793300071196</v>
      </c>
      <c r="O39" s="1">
        <v>32.514332514332501</v>
      </c>
      <c r="P39" s="1">
        <v>99.358517462580096</v>
      </c>
      <c r="Q39" s="1">
        <v>21.949221949221901</v>
      </c>
      <c r="R39" s="1"/>
      <c r="S39" s="1"/>
      <c r="T39" s="1">
        <f t="shared" si="27"/>
        <v>1.0057347670250905</v>
      </c>
      <c r="U39" s="1">
        <f t="shared" si="28"/>
        <v>3.075566750629724</v>
      </c>
      <c r="V39" s="1">
        <f t="shared" si="19"/>
        <v>1.0064562410329996</v>
      </c>
      <c r="W39" s="1">
        <f t="shared" si="8"/>
        <v>4.5559701492537412</v>
      </c>
      <c r="Y39" s="1">
        <f t="shared" si="20"/>
        <v>5.1073259928799075E-2</v>
      </c>
      <c r="Z39" s="1">
        <f t="shared" si="9"/>
        <v>5.9163795667501518E-2</v>
      </c>
      <c r="AA39" s="1">
        <f t="shared" si="10"/>
        <v>-3.8482162580095292E-2</v>
      </c>
      <c r="AB39" s="1">
        <f t="shared" si="11"/>
        <v>0.32116668077809862</v>
      </c>
      <c r="AC39" s="1"/>
      <c r="AD39" s="1">
        <f t="shared" si="21"/>
        <v>-5.1634203593042827E-4</v>
      </c>
      <c r="AE39" s="1">
        <f t="shared" si="12"/>
        <v>-5.586204227642444E-3</v>
      </c>
      <c r="AF39" s="1">
        <f t="shared" si="13"/>
        <v>3.8995770168814836E-4</v>
      </c>
      <c r="AG39" s="1">
        <f t="shared" si="14"/>
        <v>-6.5702751526699466E-2</v>
      </c>
      <c r="AJ39" s="1"/>
      <c r="AK39" s="1"/>
      <c r="AL39" s="1"/>
      <c r="AM39" s="1"/>
      <c r="AN39" s="1"/>
      <c r="AP39" s="1"/>
      <c r="AQ39" s="1"/>
      <c r="AR39" s="1"/>
    </row>
  </sheetData>
  <phoneticPr fontId="2" type="noConversion"/>
  <pageMargins left="0.25" right="0.25" top="0.75" bottom="0.75" header="0.3" footer="0.3"/>
  <pageSetup paperSize="9" scale="3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image used</vt:lpstr>
      <vt:lpstr>digitize error test, vs dpis</vt:lpstr>
      <vt:lpstr>dpi effects</vt:lpstr>
      <vt:lpstr>error, vs reriprocal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Byungki Ryu</dc:creator>
  <cp:lastModifiedBy>Byungki Ryu</cp:lastModifiedBy>
  <cp:lastPrinted>2025-05-14T01:52:49Z</cp:lastPrinted>
  <dcterms:created xsi:type="dcterms:W3CDTF">2023-04-16T13:04:27Z</dcterms:created>
  <dcterms:modified xsi:type="dcterms:W3CDTF">2025-05-24T09:33:38Z</dcterms:modified>
</cp:coreProperties>
</file>