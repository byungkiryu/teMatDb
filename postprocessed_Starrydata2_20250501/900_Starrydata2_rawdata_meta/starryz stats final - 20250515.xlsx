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Z:\gitgit\030 starrydata2505 ZT filter  -- 20250515 - simple teps\"/>
    </mc:Choice>
  </mc:AlternateContent>
  <xr:revisionPtr revIDLastSave="0" documentId="13_ncr:1_{A1A2F114-29C2-4CEA-BF57-0B4061E50A6C}" xr6:coauthVersionLast="47" xr6:coauthVersionMax="47" xr10:uidLastSave="{00000000-0000-0000-0000-000000000000}"/>
  <bookViews>
    <workbookView xWindow="-98" yWindow="-98" windowWidth="28996" windowHeight="15675" activeTab="2" xr2:uid="{ED13C715-D9DF-4616-84E8-08639CA72005}"/>
  </bookViews>
  <sheets>
    <sheet name="tematdb" sheetId="5" r:id="rId1"/>
    <sheet name="(0513)starrydata2 vs tematdb" sheetId="4" r:id="rId2"/>
    <sheet name="(0515)starrydata2 vs tematdb" sheetId="7" r:id="rId3"/>
    <sheet name="Sheet3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3" i="7" l="1"/>
  <c r="P42" i="7"/>
  <c r="P41" i="7"/>
  <c r="S43" i="7"/>
  <c r="R43" i="7"/>
  <c r="Q43" i="7"/>
  <c r="S42" i="7"/>
  <c r="R42" i="7"/>
  <c r="Q42" i="7"/>
  <c r="S41" i="7"/>
  <c r="R41" i="7"/>
  <c r="Q41" i="7"/>
  <c r="U35" i="7"/>
  <c r="U36" i="7"/>
  <c r="X20" i="7"/>
  <c r="W20" i="7"/>
  <c r="Q40" i="7"/>
  <c r="R40" i="7"/>
  <c r="S40" i="7"/>
  <c r="Q33" i="7"/>
  <c r="R33" i="7"/>
  <c r="S33" i="7"/>
  <c r="Q34" i="7"/>
  <c r="S34" i="7"/>
  <c r="R34" i="7"/>
  <c r="M22" i="7"/>
  <c r="M23" i="7"/>
  <c r="M24" i="7"/>
  <c r="M25" i="7"/>
  <c r="L25" i="7"/>
  <c r="L24" i="7"/>
  <c r="L23" i="7"/>
  <c r="S29" i="4"/>
  <c r="R29" i="4"/>
  <c r="Q29" i="4"/>
  <c r="P29" i="4"/>
  <c r="S28" i="4"/>
  <c r="R28" i="4"/>
  <c r="Q28" i="4"/>
  <c r="P28" i="4"/>
  <c r="S27" i="4"/>
  <c r="R27" i="4"/>
  <c r="Q27" i="4"/>
  <c r="P27" i="4"/>
  <c r="S26" i="4"/>
  <c r="R26" i="4"/>
  <c r="Q26" i="4"/>
  <c r="S20" i="4"/>
  <c r="R20" i="4"/>
  <c r="S19" i="4"/>
  <c r="R19" i="4"/>
  <c r="Q19" i="4"/>
  <c r="M25" i="4"/>
  <c r="L25" i="4"/>
  <c r="M24" i="4"/>
  <c r="L24" i="4"/>
  <c r="M23" i="4"/>
  <c r="L23" i="4"/>
  <c r="M22" i="4"/>
</calcChain>
</file>

<file path=xl/sharedStrings.xml><?xml version="1.0" encoding="utf-8"?>
<sst xmlns="http://schemas.openxmlformats.org/spreadsheetml/2006/main" count="223" uniqueCount="96">
  <si>
    <t>DOI</t>
  </si>
  <si>
    <t>composition</t>
  </si>
  <si>
    <t>sample_id</t>
  </si>
  <si>
    <t>is_SID_not_duplicated</t>
  </si>
  <si>
    <t>is_sample_id_not_duplicated</t>
  </si>
  <si>
    <t>pykeri_TEP_readable</t>
  </si>
  <si>
    <t>pykeri_TEPZT_readable</t>
  </si>
  <si>
    <t>classic_all_filters</t>
  </si>
  <si>
    <t>cri_product_def</t>
  </si>
  <si>
    <t>cri_product_1o2</t>
  </si>
  <si>
    <t>cri_product_1o5</t>
  </si>
  <si>
    <t>sample_id not duplicated</t>
    <phoneticPr fontId="2" type="noConversion"/>
  </si>
  <si>
    <t>SID not duplicated</t>
    <phoneticPr fontId="2" type="noConversion"/>
  </si>
  <si>
    <t>SID or DOI</t>
    <phoneticPr fontId="2" type="noConversion"/>
  </si>
  <si>
    <t>number of samples</t>
    <phoneticPr fontId="2" type="noConversion"/>
  </si>
  <si>
    <t>teMatDb v1.1.6</t>
    <phoneticPr fontId="2" type="noConversion"/>
  </si>
  <si>
    <t>ALL (distinguished samples)</t>
    <phoneticPr fontId="2" type="noConversion"/>
  </si>
  <si>
    <t>% of cri_product_def</t>
    <phoneticPr fontId="2" type="noConversion"/>
  </si>
  <si>
    <t>% of cri_product_1o2</t>
    <phoneticPr fontId="2" type="noConversion"/>
  </si>
  <si>
    <t>% of cri_product_1o5</t>
    <phoneticPr fontId="2" type="noConversion"/>
  </si>
  <si>
    <t>YEAR</t>
  </si>
  <si>
    <t>DOIlink</t>
  </si>
  <si>
    <t>dbnanme</t>
  </si>
  <si>
    <t>dbversion</t>
  </si>
  <si>
    <t>pykeri_compatible</t>
  </si>
  <si>
    <t>TF_mat_complete</t>
  </si>
  <si>
    <t>fraction_Ts_TEPZToverTEPZTex</t>
  </si>
  <si>
    <t>is_Temperature_range_valid</t>
  </si>
  <si>
    <t>autoTc</t>
  </si>
  <si>
    <t>autoTh</t>
  </si>
  <si>
    <t>ztTc</t>
  </si>
  <si>
    <t>ztTh</t>
  </si>
  <si>
    <t>Tc_ofTEP</t>
  </si>
  <si>
    <t>Th_ofTEP</t>
  </si>
  <si>
    <t>Tc_ofZT</t>
  </si>
  <si>
    <t>Th_ofZT</t>
  </si>
  <si>
    <t>Tc_ofTEPZT</t>
  </si>
  <si>
    <t>Th_ofTEPZT</t>
  </si>
  <si>
    <t>deltaT_ofTEP</t>
  </si>
  <si>
    <t>deltaT_ofZT</t>
  </si>
  <si>
    <t>deltaT_ofTEPZT</t>
  </si>
  <si>
    <t>avg_ZT_ofRawFig</t>
  </si>
  <si>
    <t>avg_ZT_ofTEPEval</t>
  </si>
  <si>
    <t>peak_ZT_ofRawFig</t>
  </si>
  <si>
    <t>peak_ZT_ofTEPEval</t>
  </si>
  <si>
    <t>d_Tmid</t>
  </si>
  <si>
    <t>d_avgZT</t>
  </si>
  <si>
    <t>d_peakZT</t>
  </si>
  <si>
    <t>errdZT_Linf</t>
  </si>
  <si>
    <t>errdZT_L2</t>
  </si>
  <si>
    <t>errdZT_L1</t>
  </si>
  <si>
    <t>is_avg_ZT_ofRawFig_positiveFinite</t>
  </si>
  <si>
    <t>is_avg_ZT_ofTEPEval_positiveFinite</t>
  </si>
  <si>
    <t>ispeak_ZT_ofRawFig_positiveFinite</t>
  </si>
  <si>
    <t>is_peak_ZT_ofTEPEval_positiveFinite</t>
  </si>
  <si>
    <t>errdZT_Linf_over_avg_ZT_ofRawFig</t>
  </si>
  <si>
    <t>errdZT_Linf_over_avg_ZT_ofTEPEval</t>
  </si>
  <si>
    <t>errdZT_Linf_over_peak_ZT_ofRawFig</t>
  </si>
  <si>
    <t>errdZT_Linf_over_peak_ZT_ofTEPEval</t>
  </si>
  <si>
    <t>uniques</t>
    <phoneticPr fontId="2" type="noConversion"/>
  </si>
  <si>
    <t>True counts</t>
    <phoneticPr fontId="2" type="noConversion"/>
  </si>
  <si>
    <t>sample_id</t>
    <phoneticPr fontId="2" type="noConversion"/>
  </si>
  <si>
    <t>DOI</t>
    <phoneticPr fontId="2" type="noConversion"/>
  </si>
  <si>
    <t>TF_matzt_complete</t>
    <phoneticPr fontId="2" type="noConversion"/>
  </si>
  <si>
    <t>Starrydata2 20250501</t>
    <phoneticPr fontId="2" type="noConversion"/>
  </si>
  <si>
    <t>columns</t>
    <phoneticPr fontId="2" type="noConversion"/>
  </si>
  <si>
    <t>ZT_error_table_dropna</t>
    <phoneticPr fontId="2" type="noConversion"/>
  </si>
  <si>
    <t>df_report_scZT_anomaly</t>
    <phoneticPr fontId="2" type="noConversion"/>
  </si>
  <si>
    <t>% of classic_all_filters</t>
    <phoneticPr fontId="2" type="noConversion"/>
  </si>
  <si>
    <t>classic_all_filters False cases</t>
    <phoneticPr fontId="2" type="noConversion"/>
  </si>
  <si>
    <t>SID (DOI)</t>
    <phoneticPr fontId="2" type="noConversion"/>
  </si>
  <si>
    <t>ALL (distinguished samples or DOI)</t>
    <phoneticPr fontId="2" type="noConversion"/>
  </si>
  <si>
    <t>all data cases samples</t>
    <phoneticPr fontId="2" type="noConversion"/>
  </si>
  <si>
    <t>all data cases</t>
    <phoneticPr fontId="2" type="noConversion"/>
  </si>
  <si>
    <t>counts</t>
    <phoneticPr fontId="2" type="noConversion"/>
  </si>
  <si>
    <t>SID</t>
  </si>
  <si>
    <t>published</t>
  </si>
  <si>
    <t>len_alpha</t>
  </si>
  <si>
    <t>len_rho</t>
  </si>
  <si>
    <t>len_kappa</t>
  </si>
  <si>
    <t>len_PF</t>
  </si>
  <si>
    <t>len_ZT</t>
  </si>
  <si>
    <t>TF_matzt_complete</t>
  </si>
  <si>
    <t>ZT_error_table_dropna</t>
  </si>
  <si>
    <t>all data cases</t>
  </si>
  <si>
    <t>SID and sample_id pair unique cases:  51796</t>
  </si>
  <si>
    <t>sample_id not duplicated cases</t>
  </si>
  <si>
    <t>SID and sample_id pair unique cases:  51794</t>
  </si>
  <si>
    <t>SID not duplicated cases</t>
  </si>
  <si>
    <t>SID and sample_id pair unique cases:  51784</t>
  </si>
  <si>
    <t>pykeri_TEPZT_readable</t>
    <phoneticPr fontId="2" type="noConversion"/>
  </si>
  <si>
    <t>cri_product_1o5</t>
    <phoneticPr fontId="2" type="noConversion"/>
  </si>
  <si>
    <t>% of classic_all_filters / TEP</t>
    <phoneticPr fontId="2" type="noConversion"/>
  </si>
  <si>
    <t>% of cri_product_def / TEPZT</t>
    <phoneticPr fontId="2" type="noConversion"/>
  </si>
  <si>
    <t>% of cri_product_1o2 / TEPZT</t>
    <phoneticPr fontId="2" type="noConversion"/>
  </si>
  <si>
    <t>% of cri_product_1o5 / TEPZT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</si>
</sst>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10" fontId="0" fillId="0" borderId="1" xfId="1" applyNumberFormat="1" applyFont="1" applyBorder="1" applyAlignment="1"/>
    <xf numFmtId="0" fontId="5" fillId="0" borderId="1" xfId="0" applyFont="1" applyBorder="1"/>
    <xf numFmtId="0" fontId="6" fillId="0" borderId="1" xfId="0" applyFont="1" applyBorder="1"/>
    <xf numFmtId="0" fontId="0" fillId="0" borderId="1" xfId="0" applyBorder="1" applyAlignment="1">
      <alignment horizontal="center" wrapText="1"/>
    </xf>
    <xf numFmtId="0" fontId="7" fillId="3" borderId="1" xfId="0" applyFont="1" applyFill="1" applyBorder="1"/>
    <xf numFmtId="0" fontId="4" fillId="3" borderId="1" xfId="0" applyFont="1" applyFill="1" applyBorder="1"/>
    <xf numFmtId="0" fontId="6" fillId="3" borderId="1" xfId="0" applyFont="1" applyFill="1" applyBorder="1"/>
    <xf numFmtId="0" fontId="0" fillId="0" borderId="2" xfId="0" applyBorder="1" applyAlignment="1">
      <alignment wrapText="1"/>
    </xf>
    <xf numFmtId="0" fontId="0" fillId="0" borderId="2" xfId="0" applyBorder="1"/>
    <xf numFmtId="0" fontId="8" fillId="0" borderId="0" xfId="0" applyFont="1" applyAlignment="1">
      <alignment horizontal="justify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F881-73D6-4278-93F4-7E29FF056B1C}">
  <dimension ref="F4:H48"/>
  <sheetViews>
    <sheetView workbookViewId="0"/>
  </sheetViews>
  <sheetFormatPr defaultRowHeight="16.899999999999999" x14ac:dyDescent="0.6"/>
  <cols>
    <col min="6" max="6" width="31.375" bestFit="1" customWidth="1"/>
    <col min="7" max="8" width="14.5" customWidth="1"/>
  </cols>
  <sheetData>
    <row r="4" spans="6:8" x14ac:dyDescent="0.6">
      <c r="F4" s="1"/>
      <c r="G4" s="1" t="s">
        <v>59</v>
      </c>
      <c r="H4" s="1" t="s">
        <v>60</v>
      </c>
    </row>
    <row r="5" spans="6:8" x14ac:dyDescent="0.6">
      <c r="F5" s="1" t="s">
        <v>0</v>
      </c>
      <c r="G5" s="1">
        <v>374</v>
      </c>
      <c r="H5" s="1">
        <v>0</v>
      </c>
    </row>
    <row r="6" spans="6:8" x14ac:dyDescent="0.6">
      <c r="F6" s="8" t="s">
        <v>2</v>
      </c>
      <c r="G6" s="8">
        <v>424</v>
      </c>
      <c r="H6" s="1">
        <v>0</v>
      </c>
    </row>
    <row r="7" spans="6:8" x14ac:dyDescent="0.6">
      <c r="F7" s="1" t="s">
        <v>20</v>
      </c>
      <c r="G7" s="1">
        <v>27</v>
      </c>
      <c r="H7" s="1">
        <v>0</v>
      </c>
    </row>
    <row r="8" spans="6:8" x14ac:dyDescent="0.6">
      <c r="F8" s="1" t="s">
        <v>21</v>
      </c>
      <c r="G8" s="1">
        <v>374</v>
      </c>
      <c r="H8" s="1">
        <v>0</v>
      </c>
    </row>
    <row r="9" spans="6:8" x14ac:dyDescent="0.6">
      <c r="F9" s="1" t="s">
        <v>22</v>
      </c>
      <c r="G9" s="1">
        <v>1</v>
      </c>
      <c r="H9" s="1">
        <v>0</v>
      </c>
    </row>
    <row r="10" spans="6:8" x14ac:dyDescent="0.6">
      <c r="F10" s="1" t="s">
        <v>23</v>
      </c>
      <c r="G10" s="1">
        <v>1</v>
      </c>
      <c r="H10" s="1">
        <v>0</v>
      </c>
    </row>
    <row r="11" spans="6:8" x14ac:dyDescent="0.6">
      <c r="F11" s="1" t="s">
        <v>24</v>
      </c>
      <c r="G11" s="1">
        <v>1</v>
      </c>
      <c r="H11" s="1">
        <v>355</v>
      </c>
    </row>
    <row r="12" spans="6:8" x14ac:dyDescent="0.6">
      <c r="F12" s="1" t="s">
        <v>25</v>
      </c>
      <c r="G12" s="1">
        <v>1</v>
      </c>
      <c r="H12" s="1">
        <v>355</v>
      </c>
    </row>
    <row r="13" spans="6:8" x14ac:dyDescent="0.6">
      <c r="F13" s="1" t="s">
        <v>26</v>
      </c>
      <c r="G13" s="1">
        <v>219</v>
      </c>
      <c r="H13" s="1">
        <v>0</v>
      </c>
    </row>
    <row r="14" spans="6:8" x14ac:dyDescent="0.6">
      <c r="F14" s="1" t="s">
        <v>27</v>
      </c>
      <c r="G14" s="1">
        <v>1</v>
      </c>
      <c r="H14" s="1">
        <v>355</v>
      </c>
    </row>
    <row r="15" spans="6:8" x14ac:dyDescent="0.6">
      <c r="F15" s="1" t="s">
        <v>28</v>
      </c>
      <c r="G15" s="1">
        <v>332</v>
      </c>
      <c r="H15" s="1">
        <v>0</v>
      </c>
    </row>
    <row r="16" spans="6:8" x14ac:dyDescent="0.6">
      <c r="F16" s="1" t="s">
        <v>29</v>
      </c>
      <c r="G16" s="1">
        <v>348</v>
      </c>
      <c r="H16" s="1">
        <v>0</v>
      </c>
    </row>
    <row r="17" spans="6:8" x14ac:dyDescent="0.6">
      <c r="F17" s="1" t="s">
        <v>30</v>
      </c>
      <c r="G17" s="1">
        <v>329</v>
      </c>
      <c r="H17" s="1">
        <v>0</v>
      </c>
    </row>
    <row r="18" spans="6:8" x14ac:dyDescent="0.6">
      <c r="F18" s="1" t="s">
        <v>31</v>
      </c>
      <c r="G18" s="1">
        <v>348</v>
      </c>
      <c r="H18" s="1">
        <v>0</v>
      </c>
    </row>
    <row r="19" spans="6:8" x14ac:dyDescent="0.6">
      <c r="F19" s="1" t="s">
        <v>32</v>
      </c>
      <c r="G19" s="1">
        <v>51</v>
      </c>
      <c r="H19" s="1">
        <v>0</v>
      </c>
    </row>
    <row r="20" spans="6:8" x14ac:dyDescent="0.6">
      <c r="F20" s="1" t="s">
        <v>33</v>
      </c>
      <c r="G20" s="1">
        <v>167</v>
      </c>
      <c r="H20" s="1">
        <v>0</v>
      </c>
    </row>
    <row r="21" spans="6:8" x14ac:dyDescent="0.6">
      <c r="F21" s="1" t="s">
        <v>34</v>
      </c>
      <c r="G21" s="1">
        <v>51</v>
      </c>
      <c r="H21" s="1">
        <v>0</v>
      </c>
    </row>
    <row r="22" spans="6:8" x14ac:dyDescent="0.6">
      <c r="F22" s="1" t="s">
        <v>35</v>
      </c>
      <c r="G22" s="1">
        <v>162</v>
      </c>
      <c r="H22" s="1">
        <v>0</v>
      </c>
    </row>
    <row r="23" spans="6:8" x14ac:dyDescent="0.6">
      <c r="F23" s="1" t="s">
        <v>36</v>
      </c>
      <c r="G23" s="1">
        <v>54</v>
      </c>
      <c r="H23" s="1">
        <v>0</v>
      </c>
    </row>
    <row r="24" spans="6:8" x14ac:dyDescent="0.6">
      <c r="F24" s="1" t="s">
        <v>37</v>
      </c>
      <c r="G24" s="1">
        <v>168</v>
      </c>
      <c r="H24" s="1">
        <v>0</v>
      </c>
    </row>
    <row r="25" spans="6:8" x14ac:dyDescent="0.6">
      <c r="F25" s="1" t="s">
        <v>38</v>
      </c>
      <c r="G25" s="1">
        <v>186</v>
      </c>
      <c r="H25" s="1">
        <v>0</v>
      </c>
    </row>
    <row r="26" spans="6:8" x14ac:dyDescent="0.6">
      <c r="F26" s="1" t="s">
        <v>39</v>
      </c>
      <c r="G26" s="1">
        <v>178</v>
      </c>
      <c r="H26" s="1">
        <v>0</v>
      </c>
    </row>
    <row r="27" spans="6:8" x14ac:dyDescent="0.6">
      <c r="F27" s="1" t="s">
        <v>40</v>
      </c>
      <c r="G27" s="1">
        <v>185</v>
      </c>
      <c r="H27" s="1">
        <v>0</v>
      </c>
    </row>
    <row r="28" spans="6:8" x14ac:dyDescent="0.6">
      <c r="F28" s="1" t="s">
        <v>41</v>
      </c>
      <c r="G28" s="1">
        <v>355</v>
      </c>
      <c r="H28" s="1">
        <v>0</v>
      </c>
    </row>
    <row r="29" spans="6:8" x14ac:dyDescent="0.6">
      <c r="F29" s="1" t="s">
        <v>42</v>
      </c>
      <c r="G29" s="1">
        <v>355</v>
      </c>
      <c r="H29" s="1">
        <v>0</v>
      </c>
    </row>
    <row r="30" spans="6:8" x14ac:dyDescent="0.6">
      <c r="F30" s="1" t="s">
        <v>43</v>
      </c>
      <c r="G30" s="1">
        <v>355</v>
      </c>
      <c r="H30" s="1">
        <v>0</v>
      </c>
    </row>
    <row r="31" spans="6:8" x14ac:dyDescent="0.6">
      <c r="F31" s="1" t="s">
        <v>44</v>
      </c>
      <c r="G31" s="1">
        <v>355</v>
      </c>
      <c r="H31" s="1">
        <v>0</v>
      </c>
    </row>
    <row r="32" spans="6:8" x14ac:dyDescent="0.6">
      <c r="F32" s="1" t="s">
        <v>45</v>
      </c>
      <c r="G32" s="1">
        <v>41</v>
      </c>
      <c r="H32" s="1">
        <v>0</v>
      </c>
    </row>
    <row r="33" spans="6:8" x14ac:dyDescent="0.6">
      <c r="F33" s="1" t="s">
        <v>46</v>
      </c>
      <c r="G33" s="1">
        <v>355</v>
      </c>
      <c r="H33" s="1">
        <v>0</v>
      </c>
    </row>
    <row r="34" spans="6:8" x14ac:dyDescent="0.6">
      <c r="F34" s="1" t="s">
        <v>47</v>
      </c>
      <c r="G34" s="1">
        <v>355</v>
      </c>
      <c r="H34" s="1">
        <v>0</v>
      </c>
    </row>
    <row r="35" spans="6:8" x14ac:dyDescent="0.6">
      <c r="F35" s="1" t="s">
        <v>48</v>
      </c>
      <c r="G35" s="1">
        <v>355</v>
      </c>
      <c r="H35" s="1">
        <v>0</v>
      </c>
    </row>
    <row r="36" spans="6:8" x14ac:dyDescent="0.6">
      <c r="F36" s="1" t="s">
        <v>49</v>
      </c>
      <c r="G36" s="1">
        <v>355</v>
      </c>
      <c r="H36" s="1">
        <v>0</v>
      </c>
    </row>
    <row r="37" spans="6:8" x14ac:dyDescent="0.6">
      <c r="F37" s="1" t="s">
        <v>50</v>
      </c>
      <c r="G37" s="1">
        <v>355</v>
      </c>
      <c r="H37" s="1">
        <v>0</v>
      </c>
    </row>
    <row r="38" spans="6:8" x14ac:dyDescent="0.6">
      <c r="F38" s="1" t="s">
        <v>51</v>
      </c>
      <c r="G38" s="1">
        <v>1</v>
      </c>
      <c r="H38" s="1">
        <v>355</v>
      </c>
    </row>
    <row r="39" spans="6:8" x14ac:dyDescent="0.6">
      <c r="F39" s="1" t="s">
        <v>52</v>
      </c>
      <c r="G39" s="1">
        <v>1</v>
      </c>
      <c r="H39" s="1">
        <v>355</v>
      </c>
    </row>
    <row r="40" spans="6:8" x14ac:dyDescent="0.6">
      <c r="F40" s="1" t="s">
        <v>53</v>
      </c>
      <c r="G40" s="1">
        <v>1</v>
      </c>
      <c r="H40" s="1">
        <v>355</v>
      </c>
    </row>
    <row r="41" spans="6:8" x14ac:dyDescent="0.6">
      <c r="F41" s="1" t="s">
        <v>54</v>
      </c>
      <c r="G41" s="1">
        <v>1</v>
      </c>
      <c r="H41" s="1">
        <v>355</v>
      </c>
    </row>
    <row r="42" spans="6:8" x14ac:dyDescent="0.6">
      <c r="F42" s="1" t="s">
        <v>55</v>
      </c>
      <c r="G42" s="1">
        <v>355</v>
      </c>
      <c r="H42" s="1">
        <v>0</v>
      </c>
    </row>
    <row r="43" spans="6:8" x14ac:dyDescent="0.6">
      <c r="F43" s="1" t="s">
        <v>56</v>
      </c>
      <c r="G43" s="1">
        <v>355</v>
      </c>
      <c r="H43" s="1">
        <v>0</v>
      </c>
    </row>
    <row r="44" spans="6:8" x14ac:dyDescent="0.6">
      <c r="F44" s="1" t="s">
        <v>57</v>
      </c>
      <c r="G44" s="1">
        <v>355</v>
      </c>
      <c r="H44" s="1">
        <v>0</v>
      </c>
    </row>
    <row r="45" spans="6:8" x14ac:dyDescent="0.6">
      <c r="F45" s="1" t="s">
        <v>58</v>
      </c>
      <c r="G45" s="1">
        <v>355</v>
      </c>
      <c r="H45" s="1">
        <v>0</v>
      </c>
    </row>
    <row r="46" spans="6:8" x14ac:dyDescent="0.6">
      <c r="F46" s="1" t="s">
        <v>8</v>
      </c>
      <c r="G46" s="1">
        <v>2</v>
      </c>
      <c r="H46" s="1">
        <v>272</v>
      </c>
    </row>
    <row r="47" spans="6:8" x14ac:dyDescent="0.6">
      <c r="F47" s="1" t="s">
        <v>9</v>
      </c>
      <c r="G47" s="1">
        <v>2</v>
      </c>
      <c r="H47" s="1">
        <v>187</v>
      </c>
    </row>
    <row r="48" spans="6:8" x14ac:dyDescent="0.6">
      <c r="F48" s="1" t="s">
        <v>10</v>
      </c>
      <c r="G48" s="1">
        <v>2</v>
      </c>
      <c r="H48" s="1">
        <v>71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2D3B-1D2E-4CFF-B866-2B67FD5F6A74}">
  <dimension ref="D3:S29"/>
  <sheetViews>
    <sheetView topLeftCell="B1" zoomScale="85" zoomScaleNormal="85" workbookViewId="0">
      <selection activeCell="P26" sqref="P26:S29"/>
    </sheetView>
  </sheetViews>
  <sheetFormatPr defaultRowHeight="16.899999999999999" x14ac:dyDescent="0.6"/>
  <cols>
    <col min="4" max="4" width="31.1875" bestFit="1" customWidth="1"/>
    <col min="6" max="8" width="13.25" customWidth="1"/>
    <col min="11" max="11" width="31.1875" bestFit="1" customWidth="1"/>
    <col min="12" max="13" width="18.25" customWidth="1"/>
    <col min="15" max="15" width="31.1875" bestFit="1" customWidth="1"/>
    <col min="17" max="19" width="13.25" customWidth="1"/>
  </cols>
  <sheetData>
    <row r="3" spans="4:19" ht="16.899999999999999" customHeight="1" x14ac:dyDescent="0.6"/>
    <row r="10" spans="4:19" ht="16.899999999999999" customHeight="1" x14ac:dyDescent="0.6">
      <c r="E10" s="14" t="s">
        <v>15</v>
      </c>
      <c r="F10" s="18" t="s">
        <v>64</v>
      </c>
      <c r="G10" s="18"/>
      <c r="H10" s="18"/>
      <c r="K10" s="1"/>
      <c r="L10" s="10" t="s">
        <v>15</v>
      </c>
      <c r="M10" s="6" t="s">
        <v>64</v>
      </c>
      <c r="N10" s="1"/>
      <c r="O10" s="1"/>
      <c r="P10" s="15" t="s">
        <v>15</v>
      </c>
      <c r="Q10" s="17" t="s">
        <v>64</v>
      </c>
      <c r="R10" s="17"/>
      <c r="S10" s="17"/>
    </row>
    <row r="11" spans="4:19" ht="33.75" customHeight="1" x14ac:dyDescent="0.6">
      <c r="D11" s="5" t="s">
        <v>65</v>
      </c>
      <c r="E11" s="6" t="s">
        <v>61</v>
      </c>
      <c r="F11" s="2" t="s">
        <v>73</v>
      </c>
      <c r="G11" s="3" t="s">
        <v>11</v>
      </c>
      <c r="H11" s="2" t="s">
        <v>12</v>
      </c>
      <c r="K11" s="5" t="s">
        <v>74</v>
      </c>
      <c r="L11" s="6" t="s">
        <v>62</v>
      </c>
      <c r="M11" s="1" t="s">
        <v>70</v>
      </c>
      <c r="O11" s="5" t="s">
        <v>14</v>
      </c>
      <c r="P11" s="6" t="s">
        <v>61</v>
      </c>
      <c r="Q11" s="2" t="s">
        <v>72</v>
      </c>
      <c r="R11" s="3" t="s">
        <v>11</v>
      </c>
      <c r="S11" s="2" t="s">
        <v>12</v>
      </c>
    </row>
    <row r="12" spans="4:19" x14ac:dyDescent="0.6">
      <c r="D12" s="1" t="s">
        <v>16</v>
      </c>
      <c r="E12" s="1">
        <v>424</v>
      </c>
      <c r="F12" s="4">
        <v>57035</v>
      </c>
      <c r="G12" s="1">
        <v>57031</v>
      </c>
      <c r="H12" s="4">
        <v>57014</v>
      </c>
      <c r="K12" s="1" t="s">
        <v>71</v>
      </c>
      <c r="L12" s="1">
        <v>341</v>
      </c>
      <c r="M12" s="1">
        <v>10046</v>
      </c>
      <c r="O12" s="1" t="s">
        <v>16</v>
      </c>
      <c r="P12" s="1">
        <v>355</v>
      </c>
      <c r="Q12" s="4">
        <v>57035</v>
      </c>
      <c r="R12" s="1">
        <v>57031</v>
      </c>
      <c r="S12" s="4">
        <v>57014</v>
      </c>
    </row>
    <row r="13" spans="4:19" x14ac:dyDescent="0.6">
      <c r="D13" s="1" t="s">
        <v>2</v>
      </c>
      <c r="E13" s="9">
        <v>424</v>
      </c>
      <c r="F13" s="4">
        <v>57033</v>
      </c>
      <c r="G13" s="1">
        <v>57031</v>
      </c>
      <c r="H13" s="4">
        <v>57014</v>
      </c>
      <c r="K13" s="1" t="s">
        <v>3</v>
      </c>
      <c r="L13" s="1"/>
      <c r="M13" s="1">
        <v>10042</v>
      </c>
      <c r="O13" s="1" t="s">
        <v>2</v>
      </c>
      <c r="P13" s="1">
        <v>355</v>
      </c>
      <c r="Q13" s="4">
        <v>57033</v>
      </c>
      <c r="R13" s="9">
        <v>57031</v>
      </c>
      <c r="S13" s="4">
        <v>57014</v>
      </c>
    </row>
    <row r="14" spans="4:19" x14ac:dyDescent="0.6">
      <c r="D14" s="1" t="s">
        <v>1</v>
      </c>
      <c r="E14" s="1"/>
      <c r="F14" s="4">
        <v>29084</v>
      </c>
      <c r="G14" s="1">
        <v>29080</v>
      </c>
      <c r="H14" s="4">
        <v>29066</v>
      </c>
      <c r="K14" s="1" t="s">
        <v>5</v>
      </c>
      <c r="L14" s="1">
        <v>341</v>
      </c>
      <c r="M14" s="1">
        <v>3630</v>
      </c>
      <c r="O14" s="1" t="s">
        <v>4</v>
      </c>
      <c r="P14" s="1"/>
      <c r="Q14" s="4">
        <v>57031</v>
      </c>
      <c r="R14" s="9">
        <v>57031</v>
      </c>
      <c r="S14" s="4">
        <v>57014</v>
      </c>
    </row>
    <row r="15" spans="4:19" x14ac:dyDescent="0.6">
      <c r="D15" s="1" t="s">
        <v>13</v>
      </c>
      <c r="E15" s="1">
        <v>374</v>
      </c>
      <c r="F15" s="4">
        <v>10046</v>
      </c>
      <c r="G15" s="1">
        <v>10046</v>
      </c>
      <c r="H15" s="4">
        <v>10042</v>
      </c>
      <c r="K15" s="1" t="s">
        <v>6</v>
      </c>
      <c r="L15" s="1">
        <v>341</v>
      </c>
      <c r="M15" s="1">
        <v>3151</v>
      </c>
      <c r="O15" s="1" t="s">
        <v>3</v>
      </c>
      <c r="P15" s="1"/>
      <c r="Q15" s="4">
        <v>57014</v>
      </c>
      <c r="R15" s="9">
        <v>57014</v>
      </c>
      <c r="S15" s="4">
        <v>57014</v>
      </c>
    </row>
    <row r="16" spans="4:19" x14ac:dyDescent="0.6">
      <c r="K16" s="1" t="s">
        <v>63</v>
      </c>
      <c r="L16" s="1">
        <v>341</v>
      </c>
      <c r="M16" s="1">
        <v>3151</v>
      </c>
      <c r="O16" s="1" t="s">
        <v>5</v>
      </c>
      <c r="P16" s="1">
        <v>355</v>
      </c>
      <c r="Q16" s="4">
        <v>18292</v>
      </c>
      <c r="R16" s="9">
        <v>18290</v>
      </c>
      <c r="S16" s="4">
        <v>18280</v>
      </c>
    </row>
    <row r="17" spans="11:19" x14ac:dyDescent="0.6">
      <c r="K17" s="11" t="s">
        <v>66</v>
      </c>
      <c r="L17" s="11"/>
      <c r="M17" s="1">
        <v>3093</v>
      </c>
      <c r="O17" s="1" t="s">
        <v>6</v>
      </c>
      <c r="P17" s="1">
        <v>355</v>
      </c>
      <c r="Q17" s="4">
        <v>16189</v>
      </c>
      <c r="R17" s="9">
        <v>16188</v>
      </c>
      <c r="S17" s="4">
        <v>16183</v>
      </c>
    </row>
    <row r="18" spans="11:19" x14ac:dyDescent="0.6">
      <c r="K18" s="1" t="s">
        <v>7</v>
      </c>
      <c r="L18" s="1"/>
      <c r="M18" s="1">
        <v>2904</v>
      </c>
      <c r="O18" s="1" t="s">
        <v>63</v>
      </c>
      <c r="P18" s="1">
        <v>355</v>
      </c>
      <c r="Q18" s="4">
        <v>16189</v>
      </c>
      <c r="R18" s="9">
        <v>16188</v>
      </c>
      <c r="S18" s="4">
        <v>16183</v>
      </c>
    </row>
    <row r="19" spans="11:19" x14ac:dyDescent="0.6">
      <c r="K19" s="1" t="s">
        <v>8</v>
      </c>
      <c r="L19" s="1">
        <v>262</v>
      </c>
      <c r="M19" s="1">
        <v>2040</v>
      </c>
      <c r="O19" s="1" t="s">
        <v>69</v>
      </c>
      <c r="P19" s="1"/>
      <c r="Q19" s="4">
        <f>Q16-Q22</f>
        <v>3046</v>
      </c>
      <c r="R19" s="9">
        <f t="shared" ref="R19:S19" si="0">R16-R22</f>
        <v>3045</v>
      </c>
      <c r="S19" s="4">
        <f t="shared" si="0"/>
        <v>3042</v>
      </c>
    </row>
    <row r="20" spans="11:19" x14ac:dyDescent="0.6">
      <c r="K20" s="1" t="s">
        <v>9</v>
      </c>
      <c r="L20" s="1">
        <v>182</v>
      </c>
      <c r="M20" s="1">
        <v>1467</v>
      </c>
      <c r="O20" s="11" t="s">
        <v>67</v>
      </c>
      <c r="P20" s="11"/>
      <c r="Q20" s="12">
        <v>217</v>
      </c>
      <c r="R20" s="13">
        <f>R18-R21</f>
        <v>217</v>
      </c>
      <c r="S20" s="13">
        <f>S18-S21</f>
        <v>217</v>
      </c>
    </row>
    <row r="21" spans="11:19" x14ac:dyDescent="0.6">
      <c r="K21" s="1" t="s">
        <v>10</v>
      </c>
      <c r="L21" s="1">
        <v>70</v>
      </c>
      <c r="M21" s="1">
        <v>637</v>
      </c>
      <c r="O21" s="11" t="s">
        <v>66</v>
      </c>
      <c r="P21" s="11"/>
      <c r="Q21" s="12">
        <v>15972</v>
      </c>
      <c r="R21" s="13">
        <v>15971</v>
      </c>
      <c r="S21" s="12">
        <v>15966</v>
      </c>
    </row>
    <row r="22" spans="11:19" x14ac:dyDescent="0.6">
      <c r="K22" s="1" t="s">
        <v>68</v>
      </c>
      <c r="L22" s="1"/>
      <c r="M22" s="7">
        <f>M18/M$14</f>
        <v>0.8</v>
      </c>
      <c r="O22" s="1" t="s">
        <v>7</v>
      </c>
      <c r="P22" s="1"/>
      <c r="Q22" s="4">
        <v>15246</v>
      </c>
      <c r="R22" s="9">
        <v>15245</v>
      </c>
      <c r="S22" s="4">
        <v>15238</v>
      </c>
    </row>
    <row r="23" spans="11:19" x14ac:dyDescent="0.6">
      <c r="K23" s="1" t="s">
        <v>17</v>
      </c>
      <c r="L23" s="7">
        <f>L19/L$14</f>
        <v>0.76832844574780057</v>
      </c>
      <c r="M23" s="7">
        <f>M19/M$14</f>
        <v>0.56198347107438018</v>
      </c>
      <c r="O23" s="1" t="s">
        <v>8</v>
      </c>
      <c r="P23" s="1">
        <v>272</v>
      </c>
      <c r="Q23" s="4">
        <v>11067</v>
      </c>
      <c r="R23" s="9">
        <v>11067</v>
      </c>
      <c r="S23" s="4">
        <v>11067</v>
      </c>
    </row>
    <row r="24" spans="11:19" x14ac:dyDescent="0.6">
      <c r="K24" s="1" t="s">
        <v>18</v>
      </c>
      <c r="L24" s="7">
        <f>L20/L$14</f>
        <v>0.53372434017595305</v>
      </c>
      <c r="M24" s="7">
        <f>M20/M$14</f>
        <v>0.40413223140495869</v>
      </c>
      <c r="O24" s="1" t="s">
        <v>9</v>
      </c>
      <c r="P24" s="1">
        <v>187</v>
      </c>
      <c r="Q24" s="4">
        <v>8136</v>
      </c>
      <c r="R24" s="9">
        <v>8136</v>
      </c>
      <c r="S24" s="4">
        <v>8136</v>
      </c>
    </row>
    <row r="25" spans="11:19" x14ac:dyDescent="0.6">
      <c r="K25" s="1" t="s">
        <v>19</v>
      </c>
      <c r="L25" s="7">
        <f>L21/L$14</f>
        <v>0.20527859237536658</v>
      </c>
      <c r="M25" s="7">
        <f>M21/M$14</f>
        <v>0.17548209366391185</v>
      </c>
      <c r="O25" s="1" t="s">
        <v>10</v>
      </c>
      <c r="P25" s="1">
        <v>71</v>
      </c>
      <c r="Q25" s="4">
        <v>3424</v>
      </c>
      <c r="R25" s="9">
        <v>3424</v>
      </c>
      <c r="S25" s="4">
        <v>3424</v>
      </c>
    </row>
    <row r="26" spans="11:19" x14ac:dyDescent="0.6">
      <c r="O26" s="1" t="s">
        <v>68</v>
      </c>
      <c r="P26" s="1"/>
      <c r="Q26" s="7">
        <f>Q22/Q$16</f>
        <v>0.83347911655368467</v>
      </c>
      <c r="R26" s="7">
        <f t="shared" ref="R26:S26" si="1">R22/R$16</f>
        <v>0.8335155822854019</v>
      </c>
      <c r="S26" s="7">
        <f t="shared" si="1"/>
        <v>0.83358862144420132</v>
      </c>
    </row>
    <row r="27" spans="11:19" x14ac:dyDescent="0.6">
      <c r="O27" s="1" t="s">
        <v>17</v>
      </c>
      <c r="P27" s="7">
        <f>P23/P$16</f>
        <v>0.76619718309859153</v>
      </c>
      <c r="Q27" s="7">
        <f>Q23/Q$16</f>
        <v>0.60501858736059477</v>
      </c>
      <c r="R27" s="7">
        <f t="shared" ref="R27:S27" si="2">R23/R$16</f>
        <v>0.60508474576271187</v>
      </c>
      <c r="S27" s="7">
        <f t="shared" si="2"/>
        <v>0.6054157549234136</v>
      </c>
    </row>
    <row r="28" spans="11:19" x14ac:dyDescent="0.6">
      <c r="O28" s="1" t="s">
        <v>18</v>
      </c>
      <c r="P28" s="7">
        <f>P24/P$16</f>
        <v>0.52676056338028165</v>
      </c>
      <c r="Q28" s="7">
        <f t="shared" ref="Q28:S28" si="3">Q24/Q$16</f>
        <v>0.44478460529193092</v>
      </c>
      <c r="R28" s="7">
        <f t="shared" si="3"/>
        <v>0.44483324220885728</v>
      </c>
      <c r="S28" s="7">
        <f t="shared" si="3"/>
        <v>0.44507658643326037</v>
      </c>
    </row>
    <row r="29" spans="11:19" x14ac:dyDescent="0.6">
      <c r="O29" s="1" t="s">
        <v>19</v>
      </c>
      <c r="P29" s="7">
        <f>P25/P$16</f>
        <v>0.2</v>
      </c>
      <c r="Q29" s="7">
        <f t="shared" ref="Q29:S29" si="4">Q25/Q$16</f>
        <v>0.18718565493111744</v>
      </c>
      <c r="R29" s="7">
        <f t="shared" si="4"/>
        <v>0.1872061235647895</v>
      </c>
      <c r="S29" s="7">
        <f t="shared" si="4"/>
        <v>0.18730853391684901</v>
      </c>
    </row>
  </sheetData>
  <mergeCells count="2">
    <mergeCell ref="Q10:S10"/>
    <mergeCell ref="F10:H1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4A6F-BD19-4596-919C-E7AD406B776A}">
  <sheetPr>
    <tabColor theme="3"/>
  </sheetPr>
  <dimension ref="D3:X43"/>
  <sheetViews>
    <sheetView tabSelected="1" topLeftCell="G13" zoomScale="85" zoomScaleNormal="85" workbookViewId="0">
      <selection activeCell="O26" sqref="O26"/>
    </sheetView>
  </sheetViews>
  <sheetFormatPr defaultRowHeight="16.899999999999999" x14ac:dyDescent="0.6"/>
  <cols>
    <col min="4" max="4" width="31.1875" bestFit="1" customWidth="1"/>
    <col min="6" max="8" width="13.25" customWidth="1"/>
    <col min="11" max="11" width="31.1875" bestFit="1" customWidth="1"/>
    <col min="12" max="13" width="18.25" customWidth="1"/>
    <col min="15" max="15" width="31.1875" bestFit="1" customWidth="1"/>
    <col min="16" max="16" width="20.3125" customWidth="1"/>
    <col min="17" max="19" width="13.25" customWidth="1"/>
  </cols>
  <sheetData>
    <row r="3" spans="4:23" ht="16.899999999999999" customHeight="1" x14ac:dyDescent="0.6"/>
    <row r="10" spans="4:23" ht="16.899999999999999" customHeight="1" x14ac:dyDescent="0.6">
      <c r="E10" s="14" t="s">
        <v>15</v>
      </c>
      <c r="F10" s="18" t="s">
        <v>64</v>
      </c>
      <c r="G10" s="18"/>
      <c r="H10" s="18"/>
      <c r="K10" s="1"/>
      <c r="L10" s="10" t="s">
        <v>15</v>
      </c>
      <c r="M10" s="1" t="s">
        <v>64</v>
      </c>
    </row>
    <row r="11" spans="4:23" ht="33.75" customHeight="1" x14ac:dyDescent="0.6">
      <c r="D11" s="5" t="s">
        <v>65</v>
      </c>
      <c r="E11" s="6" t="s">
        <v>61</v>
      </c>
      <c r="F11" s="2" t="s">
        <v>73</v>
      </c>
      <c r="G11" s="3" t="s">
        <v>11</v>
      </c>
      <c r="H11" s="2" t="s">
        <v>12</v>
      </c>
      <c r="K11" s="5" t="s">
        <v>74</v>
      </c>
      <c r="L11" s="6" t="s">
        <v>62</v>
      </c>
      <c r="M11" s="1" t="s">
        <v>70</v>
      </c>
    </row>
    <row r="12" spans="4:23" x14ac:dyDescent="0.6">
      <c r="D12" s="1" t="s">
        <v>16</v>
      </c>
      <c r="E12" s="1">
        <v>355</v>
      </c>
      <c r="F12" s="4">
        <v>51796</v>
      </c>
      <c r="G12" s="1">
        <v>51794</v>
      </c>
      <c r="H12" s="4">
        <v>51784</v>
      </c>
      <c r="K12" s="1" t="s">
        <v>71</v>
      </c>
      <c r="L12" s="1">
        <v>355</v>
      </c>
      <c r="M12" s="1">
        <v>9296</v>
      </c>
      <c r="O12" s="1" t="s">
        <v>16</v>
      </c>
      <c r="P12" s="1">
        <v>355</v>
      </c>
      <c r="Q12" s="4">
        <v>51796</v>
      </c>
      <c r="R12" s="1">
        <v>51794</v>
      </c>
      <c r="S12" s="4">
        <v>51784</v>
      </c>
    </row>
    <row r="13" spans="4:23" x14ac:dyDescent="0.6">
      <c r="D13" s="1" t="s">
        <v>2</v>
      </c>
      <c r="E13" s="9">
        <v>355</v>
      </c>
      <c r="F13" s="4">
        <v>51795</v>
      </c>
      <c r="G13" s="1">
        <v>51784</v>
      </c>
      <c r="H13" s="4">
        <v>51784</v>
      </c>
      <c r="K13" s="1" t="s">
        <v>3</v>
      </c>
      <c r="L13" s="1"/>
      <c r="M13" s="1">
        <v>9294</v>
      </c>
      <c r="O13" s="1" t="s">
        <v>1</v>
      </c>
      <c r="P13" s="1"/>
      <c r="Q13" s="4">
        <v>26987</v>
      </c>
      <c r="R13" s="9">
        <v>26985</v>
      </c>
      <c r="S13" s="4">
        <v>26977</v>
      </c>
    </row>
    <row r="14" spans="4:23" x14ac:dyDescent="0.6">
      <c r="D14" s="1" t="s">
        <v>1</v>
      </c>
      <c r="E14" s="1"/>
      <c r="F14" s="4">
        <v>26987</v>
      </c>
      <c r="G14" s="1">
        <v>26985</v>
      </c>
      <c r="H14" s="4">
        <v>26977</v>
      </c>
      <c r="K14" s="1" t="s">
        <v>5</v>
      </c>
      <c r="L14" s="1">
        <v>341</v>
      </c>
      <c r="M14" s="1">
        <v>3501</v>
      </c>
      <c r="O14" s="1" t="s">
        <v>2</v>
      </c>
      <c r="P14" s="1">
        <v>355</v>
      </c>
      <c r="Q14" s="4">
        <v>51795</v>
      </c>
      <c r="R14" s="9">
        <v>51794</v>
      </c>
      <c r="S14" s="4">
        <v>51784</v>
      </c>
      <c r="V14" s="16">
        <v>120</v>
      </c>
      <c r="W14" s="16">
        <v>300</v>
      </c>
    </row>
    <row r="15" spans="4:23" x14ac:dyDescent="0.6">
      <c r="D15" s="1" t="s">
        <v>13</v>
      </c>
      <c r="E15" s="1">
        <v>341</v>
      </c>
      <c r="F15" s="4">
        <v>9296</v>
      </c>
      <c r="G15" s="1">
        <v>9296</v>
      </c>
      <c r="H15" s="4">
        <v>9294</v>
      </c>
      <c r="K15" s="1" t="s">
        <v>6</v>
      </c>
      <c r="L15" s="1">
        <v>341</v>
      </c>
      <c r="M15" s="1">
        <v>3004</v>
      </c>
      <c r="O15" s="1" t="s">
        <v>4</v>
      </c>
      <c r="P15" s="1"/>
      <c r="Q15" s="4">
        <v>51794</v>
      </c>
      <c r="R15" s="9">
        <v>51794</v>
      </c>
      <c r="S15" s="4">
        <v>51784</v>
      </c>
      <c r="V15" s="16">
        <v>200</v>
      </c>
      <c r="W15" s="16">
        <v>396</v>
      </c>
    </row>
    <row r="16" spans="4:23" x14ac:dyDescent="0.6">
      <c r="K16" s="1" t="s">
        <v>63</v>
      </c>
      <c r="L16" s="1">
        <v>341</v>
      </c>
      <c r="M16" s="1">
        <v>3004</v>
      </c>
      <c r="O16" s="1" t="s">
        <v>3</v>
      </c>
      <c r="P16" s="1"/>
      <c r="Q16" s="4">
        <v>51784</v>
      </c>
      <c r="R16" s="9">
        <v>51784</v>
      </c>
      <c r="S16" s="4">
        <v>51784</v>
      </c>
      <c r="V16" s="16">
        <v>300</v>
      </c>
      <c r="W16" s="16">
        <v>137</v>
      </c>
    </row>
    <row r="17" spans="11:24" x14ac:dyDescent="0.6">
      <c r="K17" s="11" t="s">
        <v>66</v>
      </c>
      <c r="L17" s="11"/>
      <c r="M17" s="1">
        <v>2980</v>
      </c>
      <c r="V17" s="16">
        <v>400</v>
      </c>
      <c r="W17" s="16">
        <v>163</v>
      </c>
    </row>
    <row r="18" spans="11:24" x14ac:dyDescent="0.6">
      <c r="K18" s="1" t="s">
        <v>7</v>
      </c>
      <c r="L18" s="1"/>
      <c r="M18" s="1">
        <v>2861</v>
      </c>
      <c r="V18" s="16">
        <v>500</v>
      </c>
      <c r="W18" s="16">
        <v>180</v>
      </c>
    </row>
    <row r="19" spans="11:24" x14ac:dyDescent="0.6">
      <c r="K19" s="1" t="s">
        <v>8</v>
      </c>
      <c r="L19" s="1">
        <v>262</v>
      </c>
      <c r="M19" s="1">
        <v>1987</v>
      </c>
    </row>
    <row r="20" spans="11:24" x14ac:dyDescent="0.6">
      <c r="K20" s="1" t="s">
        <v>9</v>
      </c>
      <c r="L20" s="1">
        <v>182</v>
      </c>
      <c r="M20" s="1">
        <v>1431</v>
      </c>
      <c r="W20">
        <f>SUM(W14:W18)</f>
        <v>1176</v>
      </c>
      <c r="X20">
        <f>W20/60</f>
        <v>19.600000000000001</v>
      </c>
    </row>
    <row r="21" spans="11:24" x14ac:dyDescent="0.6">
      <c r="K21" s="1" t="s">
        <v>10</v>
      </c>
      <c r="L21" s="1">
        <v>70</v>
      </c>
      <c r="M21" s="1">
        <v>621</v>
      </c>
    </row>
    <row r="22" spans="11:24" x14ac:dyDescent="0.6">
      <c r="K22" s="1" t="s">
        <v>68</v>
      </c>
      <c r="L22" s="1"/>
      <c r="M22" s="7">
        <f>M18/M$14</f>
        <v>0.81719508711796629</v>
      </c>
    </row>
    <row r="23" spans="11:24" x14ac:dyDescent="0.6">
      <c r="K23" s="1" t="s">
        <v>17</v>
      </c>
      <c r="L23" s="7">
        <f>L19/L$14</f>
        <v>0.76832844574780057</v>
      </c>
      <c r="M23" s="7">
        <f>M19/M$14</f>
        <v>0.56755212796343901</v>
      </c>
    </row>
    <row r="24" spans="11:24" x14ac:dyDescent="0.6">
      <c r="K24" s="1" t="s">
        <v>18</v>
      </c>
      <c r="L24" s="7">
        <f>L20/L$14</f>
        <v>0.53372434017595305</v>
      </c>
      <c r="M24" s="7">
        <f>M20/M$14</f>
        <v>0.40874035989717222</v>
      </c>
    </row>
    <row r="25" spans="11:24" x14ac:dyDescent="0.6">
      <c r="K25" s="1" t="s">
        <v>19</v>
      </c>
      <c r="L25" s="7">
        <f>L21/L$14</f>
        <v>0.20527859237536658</v>
      </c>
      <c r="M25" s="7">
        <f>M21/M$14</f>
        <v>0.17737789203084833</v>
      </c>
    </row>
    <row r="28" spans="11:24" x14ac:dyDescent="0.6">
      <c r="O28" s="1"/>
      <c r="P28" s="15" t="s">
        <v>15</v>
      </c>
      <c r="Q28" s="17" t="s">
        <v>64</v>
      </c>
      <c r="R28" s="17"/>
      <c r="S28" s="17"/>
    </row>
    <row r="29" spans="11:24" ht="26.25" x14ac:dyDescent="0.6">
      <c r="O29" s="5" t="s">
        <v>14</v>
      </c>
      <c r="P29" s="6" t="s">
        <v>61</v>
      </c>
      <c r="Q29" s="2" t="s">
        <v>72</v>
      </c>
      <c r="R29" s="3" t="s">
        <v>11</v>
      </c>
      <c r="S29" s="2" t="s">
        <v>12</v>
      </c>
    </row>
    <row r="30" spans="11:24" x14ac:dyDescent="0.6">
      <c r="O30" s="1" t="s">
        <v>5</v>
      </c>
      <c r="P30" s="1">
        <v>355</v>
      </c>
      <c r="Q30" s="4">
        <v>17727</v>
      </c>
      <c r="R30" s="9">
        <v>17727</v>
      </c>
      <c r="S30" s="4">
        <v>17727</v>
      </c>
    </row>
    <row r="31" spans="11:24" x14ac:dyDescent="0.6">
      <c r="O31" s="1" t="s">
        <v>90</v>
      </c>
      <c r="P31" s="1">
        <v>355</v>
      </c>
      <c r="Q31" s="4">
        <v>15532</v>
      </c>
      <c r="R31" s="9">
        <v>15532</v>
      </c>
      <c r="S31" s="4">
        <v>15532</v>
      </c>
    </row>
    <row r="32" spans="11:24" x14ac:dyDescent="0.6">
      <c r="O32" s="1" t="s">
        <v>63</v>
      </c>
      <c r="P32" s="1">
        <v>355</v>
      </c>
      <c r="Q32" s="4">
        <v>15532</v>
      </c>
      <c r="R32" s="9">
        <v>15532</v>
      </c>
      <c r="S32" s="4">
        <v>15532</v>
      </c>
    </row>
    <row r="33" spans="15:21" x14ac:dyDescent="0.6">
      <c r="O33" s="11" t="s">
        <v>69</v>
      </c>
      <c r="P33" s="11"/>
      <c r="Q33" s="12">
        <f>Q30-Q36</f>
        <v>2674</v>
      </c>
      <c r="R33" s="13">
        <f>R30-R36</f>
        <v>2674</v>
      </c>
      <c r="S33" s="13">
        <f>S30-S36</f>
        <v>2674</v>
      </c>
    </row>
    <row r="34" spans="15:21" x14ac:dyDescent="0.6">
      <c r="O34" s="11" t="s">
        <v>67</v>
      </c>
      <c r="P34" s="11"/>
      <c r="Q34" s="12">
        <f>Q32-Q35</f>
        <v>70</v>
      </c>
      <c r="R34" s="13">
        <f>R32-R35</f>
        <v>70</v>
      </c>
      <c r="S34" s="12">
        <f>S32-S35</f>
        <v>70</v>
      </c>
    </row>
    <row r="35" spans="15:21" x14ac:dyDescent="0.6">
      <c r="O35" s="1" t="s">
        <v>66</v>
      </c>
      <c r="P35" s="1"/>
      <c r="Q35" s="4">
        <v>15462</v>
      </c>
      <c r="R35" s="9">
        <v>15462</v>
      </c>
      <c r="S35" s="4">
        <v>15462</v>
      </c>
      <c r="U35">
        <f>S32-S34</f>
        <v>15462</v>
      </c>
    </row>
    <row r="36" spans="15:21" x14ac:dyDescent="0.6">
      <c r="O36" s="1" t="s">
        <v>7</v>
      </c>
      <c r="P36" s="1"/>
      <c r="Q36" s="4">
        <v>15053</v>
      </c>
      <c r="R36" s="9">
        <v>15053</v>
      </c>
      <c r="S36" s="4">
        <v>15053</v>
      </c>
      <c r="U36">
        <f>S30-S33</f>
        <v>15053</v>
      </c>
    </row>
    <row r="37" spans="15:21" x14ac:dyDescent="0.6">
      <c r="O37" s="1" t="s">
        <v>8</v>
      </c>
      <c r="P37" s="1">
        <v>272</v>
      </c>
      <c r="Q37" s="4">
        <v>10840</v>
      </c>
      <c r="R37" s="9">
        <v>10840</v>
      </c>
      <c r="S37" s="4">
        <v>10840</v>
      </c>
    </row>
    <row r="38" spans="15:21" x14ac:dyDescent="0.6">
      <c r="O38" s="1" t="s">
        <v>9</v>
      </c>
      <c r="P38" s="1">
        <v>187</v>
      </c>
      <c r="Q38" s="4">
        <v>8007</v>
      </c>
      <c r="R38" s="9">
        <v>8007</v>
      </c>
      <c r="S38" s="4">
        <v>8007</v>
      </c>
    </row>
    <row r="39" spans="15:21" x14ac:dyDescent="0.6">
      <c r="O39" s="1" t="s">
        <v>91</v>
      </c>
      <c r="P39" s="1">
        <v>71</v>
      </c>
      <c r="Q39" s="4">
        <v>3370</v>
      </c>
      <c r="R39" s="9">
        <v>3370</v>
      </c>
      <c r="S39" s="4">
        <v>3370</v>
      </c>
    </row>
    <row r="40" spans="15:21" x14ac:dyDescent="0.6">
      <c r="O40" s="1" t="s">
        <v>92</v>
      </c>
      <c r="P40" s="7"/>
      <c r="Q40" s="7">
        <f>Q36/Q$30</f>
        <v>0.84915665369210813</v>
      </c>
      <c r="R40" s="7">
        <f>R36/R$30</f>
        <v>0.84915665369210813</v>
      </c>
      <c r="S40" s="7">
        <f>S36/S$30</f>
        <v>0.84915665369210813</v>
      </c>
    </row>
    <row r="41" spans="15:21" x14ac:dyDescent="0.6">
      <c r="O41" s="1" t="s">
        <v>93</v>
      </c>
      <c r="P41" s="7">
        <f t="shared" ref="P41:P43" si="0">P37/P$31</f>
        <v>0.76619718309859153</v>
      </c>
      <c r="Q41" s="7">
        <f>Q37/Q$31</f>
        <v>0.69791398403296423</v>
      </c>
      <c r="R41" s="7">
        <f t="shared" ref="R41:S41" si="1">R37/R$31</f>
        <v>0.69791398403296423</v>
      </c>
      <c r="S41" s="7">
        <f t="shared" si="1"/>
        <v>0.69791398403296423</v>
      </c>
    </row>
    <row r="42" spans="15:21" x14ac:dyDescent="0.6">
      <c r="O42" s="1" t="s">
        <v>94</v>
      </c>
      <c r="P42" s="7">
        <f t="shared" si="0"/>
        <v>0.52676056338028165</v>
      </c>
      <c r="Q42" s="7">
        <f t="shared" ref="Q42:S42" si="2">Q38/Q$31</f>
        <v>0.51551635333505019</v>
      </c>
      <c r="R42" s="7">
        <f t="shared" si="2"/>
        <v>0.51551635333505019</v>
      </c>
      <c r="S42" s="7">
        <f t="shared" si="2"/>
        <v>0.51551635333505019</v>
      </c>
    </row>
    <row r="43" spans="15:21" x14ac:dyDescent="0.6">
      <c r="O43" s="1" t="s">
        <v>95</v>
      </c>
      <c r="P43" s="7">
        <f t="shared" si="0"/>
        <v>0.2</v>
      </c>
      <c r="Q43" s="7">
        <f t="shared" ref="Q43:S43" si="3">Q39/Q$31</f>
        <v>0.21697141385526655</v>
      </c>
      <c r="R43" s="7">
        <f t="shared" si="3"/>
        <v>0.21697141385526655</v>
      </c>
      <c r="S43" s="7">
        <f t="shared" si="3"/>
        <v>0.21697141385526655</v>
      </c>
    </row>
  </sheetData>
  <mergeCells count="2">
    <mergeCell ref="F10:H10"/>
    <mergeCell ref="Q28:S2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C03C-4DF1-4922-9584-1E922CA3B01F}">
  <dimension ref="E8:M29"/>
  <sheetViews>
    <sheetView topLeftCell="A4" workbookViewId="0">
      <selection activeCell="H13" sqref="E8:M29"/>
    </sheetView>
  </sheetViews>
  <sheetFormatPr defaultRowHeight="16.899999999999999" x14ac:dyDescent="0.6"/>
  <sheetData>
    <row r="8" spans="5:13" x14ac:dyDescent="0.6">
      <c r="E8" t="s">
        <v>84</v>
      </c>
      <c r="H8" t="s">
        <v>86</v>
      </c>
      <c r="K8" t="s">
        <v>88</v>
      </c>
    </row>
    <row r="9" spans="5:13" x14ac:dyDescent="0.6">
      <c r="E9" t="s">
        <v>85</v>
      </c>
      <c r="F9">
        <v>51796</v>
      </c>
      <c r="H9" t="s">
        <v>87</v>
      </c>
      <c r="I9">
        <v>51794</v>
      </c>
      <c r="K9" t="s">
        <v>89</v>
      </c>
      <c r="L9">
        <v>51784</v>
      </c>
    </row>
    <row r="10" spans="5:13" x14ac:dyDescent="0.6">
      <c r="E10" t="s">
        <v>75</v>
      </c>
      <c r="F10">
        <v>9296</v>
      </c>
      <c r="G10">
        <v>0</v>
      </c>
      <c r="H10" t="s">
        <v>75</v>
      </c>
      <c r="I10">
        <v>9296</v>
      </c>
      <c r="J10">
        <v>0</v>
      </c>
      <c r="K10" t="s">
        <v>75</v>
      </c>
      <c r="L10">
        <v>9294</v>
      </c>
      <c r="M10">
        <v>0</v>
      </c>
    </row>
    <row r="11" spans="5:13" x14ac:dyDescent="0.6">
      <c r="E11" t="s">
        <v>0</v>
      </c>
      <c r="F11">
        <v>9296</v>
      </c>
      <c r="G11">
        <v>0</v>
      </c>
      <c r="H11" t="s">
        <v>0</v>
      </c>
      <c r="I11">
        <v>9296</v>
      </c>
      <c r="J11">
        <v>0</v>
      </c>
      <c r="K11" t="s">
        <v>0</v>
      </c>
      <c r="L11">
        <v>9294</v>
      </c>
      <c r="M11">
        <v>0</v>
      </c>
    </row>
    <row r="12" spans="5:13" x14ac:dyDescent="0.6">
      <c r="E12" t="s">
        <v>1</v>
      </c>
      <c r="F12">
        <v>26987</v>
      </c>
      <c r="G12">
        <v>0</v>
      </c>
      <c r="H12" t="s">
        <v>1</v>
      </c>
      <c r="I12">
        <v>26985</v>
      </c>
      <c r="J12">
        <v>0</v>
      </c>
      <c r="K12" t="s">
        <v>1</v>
      </c>
      <c r="L12">
        <v>26977</v>
      </c>
      <c r="M12">
        <v>0</v>
      </c>
    </row>
    <row r="13" spans="5:13" x14ac:dyDescent="0.6">
      <c r="E13" t="s">
        <v>2</v>
      </c>
      <c r="F13">
        <v>51795</v>
      </c>
      <c r="G13">
        <v>0</v>
      </c>
      <c r="H13" t="s">
        <v>2</v>
      </c>
      <c r="I13">
        <v>51794</v>
      </c>
      <c r="J13">
        <v>0</v>
      </c>
      <c r="K13" t="s">
        <v>2</v>
      </c>
      <c r="L13">
        <v>51784</v>
      </c>
      <c r="M13">
        <v>0</v>
      </c>
    </row>
    <row r="14" spans="5:13" x14ac:dyDescent="0.6">
      <c r="E14" t="s">
        <v>3</v>
      </c>
      <c r="F14">
        <v>2</v>
      </c>
      <c r="G14">
        <v>51784</v>
      </c>
      <c r="H14" t="s">
        <v>3</v>
      </c>
      <c r="I14">
        <v>2</v>
      </c>
      <c r="J14">
        <v>51784</v>
      </c>
      <c r="K14" t="s">
        <v>3</v>
      </c>
      <c r="L14">
        <v>1</v>
      </c>
      <c r="M14">
        <v>51784</v>
      </c>
    </row>
    <row r="15" spans="5:13" x14ac:dyDescent="0.6">
      <c r="E15" t="s">
        <v>4</v>
      </c>
      <c r="F15">
        <v>2</v>
      </c>
      <c r="G15">
        <v>51794</v>
      </c>
      <c r="H15" t="s">
        <v>4</v>
      </c>
      <c r="I15">
        <v>1</v>
      </c>
      <c r="J15">
        <v>51794</v>
      </c>
      <c r="K15" t="s">
        <v>4</v>
      </c>
      <c r="L15">
        <v>1</v>
      </c>
      <c r="M15">
        <v>51784</v>
      </c>
    </row>
    <row r="16" spans="5:13" x14ac:dyDescent="0.6">
      <c r="E16" t="s">
        <v>76</v>
      </c>
      <c r="F16">
        <v>3098</v>
      </c>
      <c r="G16">
        <v>0</v>
      </c>
      <c r="H16" t="s">
        <v>76</v>
      </c>
      <c r="I16">
        <v>3098</v>
      </c>
      <c r="J16">
        <v>0</v>
      </c>
      <c r="K16" t="s">
        <v>76</v>
      </c>
      <c r="L16">
        <v>3098</v>
      </c>
      <c r="M16">
        <v>0</v>
      </c>
    </row>
    <row r="17" spans="5:13" x14ac:dyDescent="0.6">
      <c r="E17" t="s">
        <v>77</v>
      </c>
      <c r="F17">
        <v>168</v>
      </c>
      <c r="G17">
        <v>0</v>
      </c>
      <c r="H17" t="s">
        <v>77</v>
      </c>
      <c r="I17">
        <v>168</v>
      </c>
      <c r="J17">
        <v>0</v>
      </c>
      <c r="K17" t="s">
        <v>77</v>
      </c>
      <c r="L17">
        <v>168</v>
      </c>
      <c r="M17">
        <v>0</v>
      </c>
    </row>
    <row r="18" spans="5:13" x14ac:dyDescent="0.6">
      <c r="E18" t="s">
        <v>78</v>
      </c>
      <c r="F18">
        <v>165</v>
      </c>
      <c r="G18">
        <v>0</v>
      </c>
      <c r="H18" t="s">
        <v>78</v>
      </c>
      <c r="I18">
        <v>165</v>
      </c>
      <c r="J18">
        <v>0</v>
      </c>
      <c r="K18" t="s">
        <v>78</v>
      </c>
      <c r="L18">
        <v>165</v>
      </c>
      <c r="M18">
        <v>0</v>
      </c>
    </row>
    <row r="19" spans="5:13" x14ac:dyDescent="0.6">
      <c r="E19" t="s">
        <v>79</v>
      </c>
      <c r="F19">
        <v>166</v>
      </c>
      <c r="G19">
        <v>0</v>
      </c>
      <c r="H19" t="s">
        <v>79</v>
      </c>
      <c r="I19">
        <v>166</v>
      </c>
      <c r="J19">
        <v>0</v>
      </c>
      <c r="K19" t="s">
        <v>79</v>
      </c>
      <c r="L19">
        <v>166</v>
      </c>
      <c r="M19">
        <v>0</v>
      </c>
    </row>
    <row r="20" spans="5:13" x14ac:dyDescent="0.6">
      <c r="E20" t="s">
        <v>80</v>
      </c>
      <c r="F20">
        <v>110</v>
      </c>
      <c r="G20">
        <v>0</v>
      </c>
      <c r="H20" t="s">
        <v>80</v>
      </c>
      <c r="I20">
        <v>110</v>
      </c>
      <c r="J20">
        <v>0</v>
      </c>
      <c r="K20" t="s">
        <v>80</v>
      </c>
      <c r="L20">
        <v>110</v>
      </c>
      <c r="M20">
        <v>0</v>
      </c>
    </row>
    <row r="21" spans="5:13" x14ac:dyDescent="0.6">
      <c r="E21" t="s">
        <v>81</v>
      </c>
      <c r="F21">
        <v>106</v>
      </c>
      <c r="G21">
        <v>0</v>
      </c>
      <c r="H21" t="s">
        <v>81</v>
      </c>
      <c r="I21">
        <v>106</v>
      </c>
      <c r="J21">
        <v>0</v>
      </c>
      <c r="K21" t="s">
        <v>81</v>
      </c>
      <c r="L21">
        <v>106</v>
      </c>
      <c r="M21">
        <v>0</v>
      </c>
    </row>
    <row r="22" spans="5:13" x14ac:dyDescent="0.6">
      <c r="E22" t="s">
        <v>5</v>
      </c>
      <c r="F22">
        <v>2</v>
      </c>
      <c r="G22">
        <v>17727</v>
      </c>
      <c r="H22" t="s">
        <v>5</v>
      </c>
      <c r="I22">
        <v>2</v>
      </c>
      <c r="J22">
        <v>17727</v>
      </c>
      <c r="K22" t="s">
        <v>5</v>
      </c>
      <c r="L22">
        <v>2</v>
      </c>
      <c r="M22">
        <v>17727</v>
      </c>
    </row>
    <row r="23" spans="5:13" x14ac:dyDescent="0.6">
      <c r="E23" t="s">
        <v>6</v>
      </c>
      <c r="F23">
        <v>2</v>
      </c>
      <c r="G23">
        <v>15532</v>
      </c>
      <c r="H23" t="s">
        <v>6</v>
      </c>
      <c r="I23">
        <v>2</v>
      </c>
      <c r="J23">
        <v>15532</v>
      </c>
      <c r="K23" t="s">
        <v>6</v>
      </c>
      <c r="L23">
        <v>2</v>
      </c>
      <c r="M23">
        <v>15532</v>
      </c>
    </row>
    <row r="24" spans="5:13" x14ac:dyDescent="0.6">
      <c r="E24" t="s">
        <v>82</v>
      </c>
      <c r="F24">
        <v>2</v>
      </c>
      <c r="G24">
        <v>15532</v>
      </c>
      <c r="H24" t="s">
        <v>82</v>
      </c>
      <c r="I24">
        <v>2</v>
      </c>
      <c r="J24">
        <v>15532</v>
      </c>
      <c r="K24" t="s">
        <v>82</v>
      </c>
      <c r="L24">
        <v>2</v>
      </c>
      <c r="M24">
        <v>15532</v>
      </c>
    </row>
    <row r="25" spans="5:13" x14ac:dyDescent="0.6">
      <c r="E25" t="s">
        <v>83</v>
      </c>
      <c r="F25">
        <v>1</v>
      </c>
      <c r="G25">
        <v>15462</v>
      </c>
      <c r="H25" t="s">
        <v>83</v>
      </c>
      <c r="I25">
        <v>1</v>
      </c>
      <c r="J25">
        <v>15462</v>
      </c>
      <c r="K25" t="s">
        <v>83</v>
      </c>
      <c r="L25">
        <v>1</v>
      </c>
      <c r="M25">
        <v>15462</v>
      </c>
    </row>
    <row r="26" spans="5:13" x14ac:dyDescent="0.6">
      <c r="E26" t="s">
        <v>7</v>
      </c>
      <c r="F26">
        <v>2</v>
      </c>
      <c r="G26">
        <v>15053</v>
      </c>
      <c r="H26" t="s">
        <v>7</v>
      </c>
      <c r="I26">
        <v>2</v>
      </c>
      <c r="J26">
        <v>15053</v>
      </c>
      <c r="K26" t="s">
        <v>7</v>
      </c>
      <c r="L26">
        <v>2</v>
      </c>
      <c r="M26">
        <v>15053</v>
      </c>
    </row>
    <row r="27" spans="5:13" x14ac:dyDescent="0.6">
      <c r="E27" t="s">
        <v>8</v>
      </c>
      <c r="F27">
        <v>2</v>
      </c>
      <c r="G27">
        <v>10840</v>
      </c>
      <c r="H27" t="s">
        <v>8</v>
      </c>
      <c r="I27">
        <v>2</v>
      </c>
      <c r="J27">
        <v>10840</v>
      </c>
      <c r="K27" t="s">
        <v>8</v>
      </c>
      <c r="L27">
        <v>2</v>
      </c>
      <c r="M27">
        <v>10840</v>
      </c>
    </row>
    <row r="28" spans="5:13" x14ac:dyDescent="0.6">
      <c r="E28" t="s">
        <v>9</v>
      </c>
      <c r="F28">
        <v>2</v>
      </c>
      <c r="G28">
        <v>8007</v>
      </c>
      <c r="H28" t="s">
        <v>9</v>
      </c>
      <c r="I28">
        <v>2</v>
      </c>
      <c r="J28">
        <v>8007</v>
      </c>
      <c r="K28" t="s">
        <v>9</v>
      </c>
      <c r="L28">
        <v>2</v>
      </c>
      <c r="M28">
        <v>8007</v>
      </c>
    </row>
    <row r="29" spans="5:13" x14ac:dyDescent="0.6">
      <c r="E29" t="s">
        <v>10</v>
      </c>
      <c r="F29">
        <v>2</v>
      </c>
      <c r="G29">
        <v>3370</v>
      </c>
      <c r="H29" t="s">
        <v>10</v>
      </c>
      <c r="I29">
        <v>2</v>
      </c>
      <c r="J29">
        <v>3370</v>
      </c>
      <c r="K29" t="s">
        <v>10</v>
      </c>
      <c r="L29">
        <v>2</v>
      </c>
      <c r="M29">
        <v>3370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tematdb</vt:lpstr>
      <vt:lpstr>(0513)starrydata2 vs tematdb</vt:lpstr>
      <vt:lpstr>(0515)starrydata2 vs tematdb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cta4rbk@naver.com</cp:lastModifiedBy>
  <dcterms:created xsi:type="dcterms:W3CDTF">2025-05-12T18:25:18Z</dcterms:created>
  <dcterms:modified xsi:type="dcterms:W3CDTF">2025-05-15T15:06:32Z</dcterms:modified>
</cp:coreProperties>
</file>