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e64a25058d50c5c4/OneD-2025/8 pykeri proto code/030 starrydata2502 to csv and filter  -- 20250512/rawdata 20250501/999_Starrydata2_rawdata_meta/"/>
    </mc:Choice>
  </mc:AlternateContent>
  <xr:revisionPtr revIDLastSave="9" documentId="8_{F3F81D6D-4FA2-4E3A-B9BB-F5848AB01414}" xr6:coauthVersionLast="47" xr6:coauthVersionMax="47" xr10:uidLastSave="{A3B4B8E6-D78E-4496-9D8C-C34E1BB909DD}"/>
  <bookViews>
    <workbookView xWindow="-98" yWindow="-98" windowWidth="28996" windowHeight="15675" activeTab="2" xr2:uid="{00000000-000D-0000-FFFF-FFFF00000000}"/>
  </bookViews>
  <sheets>
    <sheet name="dup sample_id" sheetId="2" r:id="rId1"/>
    <sheet name="dup table - samples" sheetId="3" r:id="rId2"/>
    <sheet name="vs tematdb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4" l="1"/>
  <c r="H24" i="4"/>
  <c r="G24" i="4"/>
  <c r="F24" i="4"/>
  <c r="I23" i="4"/>
  <c r="H23" i="4"/>
  <c r="G23" i="4"/>
  <c r="F23" i="4"/>
  <c r="I22" i="4"/>
  <c r="H22" i="4"/>
  <c r="G22" i="4"/>
  <c r="F22" i="4"/>
</calcChain>
</file>

<file path=xl/sharedStrings.xml><?xml version="1.0" encoding="utf-8"?>
<sst xmlns="http://schemas.openxmlformats.org/spreadsheetml/2006/main" count="106" uniqueCount="43">
  <si>
    <t>SID</t>
  </si>
  <si>
    <t>DOI</t>
  </si>
  <si>
    <t>composition</t>
  </si>
  <si>
    <t>sample_id</t>
  </si>
  <si>
    <t>is_SID_not_duplicated</t>
  </si>
  <si>
    <t>is_sample_id_not_duplicated</t>
  </si>
  <si>
    <t>published</t>
  </si>
  <si>
    <t>len_alpha</t>
  </si>
  <si>
    <t>len_rho</t>
  </si>
  <si>
    <t>len_kappa</t>
  </si>
  <si>
    <t>len_PF</t>
  </si>
  <si>
    <t>len_ZT</t>
  </si>
  <si>
    <t>pykeri_TEP_readable</t>
  </si>
  <si>
    <t>pykeri_TEPZT_readable</t>
  </si>
  <si>
    <t>TF_matzt_complete</t>
  </si>
  <si>
    <t>classic_all_filters</t>
  </si>
  <si>
    <t>cri_product_def</t>
  </si>
  <si>
    <t>cri_product_1o2</t>
  </si>
  <si>
    <t>cri_product_1o5</t>
  </si>
  <si>
    <t>2015-Jan-01</t>
  </si>
  <si>
    <t>2017-Jul-01</t>
  </si>
  <si>
    <t>2019-Jan-01</t>
  </si>
  <si>
    <t>10.1039/c9tc01634a</t>
  </si>
  <si>
    <t>Cr1.96Se3</t>
  </si>
  <si>
    <t>10.1039/c5ra21404a</t>
  </si>
  <si>
    <t>10.1134/s1063782617070363</t>
  </si>
  <si>
    <t>Fe2TiSn0.4Si0.6</t>
  </si>
  <si>
    <t>Ta0.25Nb0.375V0.375CoSb</t>
  </si>
  <si>
    <t>10.1016/s0167-2738(98)00117-9</t>
  </si>
  <si>
    <t>1998-Jul-01</t>
  </si>
  <si>
    <t>LaCo0.5Fe0.2Ni0.3O3</t>
  </si>
  <si>
    <t>cases</t>
    <phoneticPr fontId="4" type="noConversion"/>
  </si>
  <si>
    <t>all data cases</t>
  </si>
  <si>
    <t>sample_id not duplicated</t>
    <phoneticPr fontId="4" type="noConversion"/>
  </si>
  <si>
    <t>SID not duplicated</t>
    <phoneticPr fontId="4" type="noConversion"/>
  </si>
  <si>
    <t>ALL (distinguished)</t>
    <phoneticPr fontId="4" type="noConversion"/>
  </si>
  <si>
    <t>SID or DOI</t>
    <phoneticPr fontId="4" type="noConversion"/>
  </si>
  <si>
    <t>number of samples</t>
    <phoneticPr fontId="4" type="noConversion"/>
  </si>
  <si>
    <t>teMatDb v1.1.6</t>
    <phoneticPr fontId="4" type="noConversion"/>
  </si>
  <si>
    <t>ALL (distinguished samples)</t>
    <phoneticPr fontId="4" type="noConversion"/>
  </si>
  <si>
    <t>% of cri_product_def</t>
    <phoneticPr fontId="4" type="noConversion"/>
  </si>
  <si>
    <t>% of cri_product_1o2</t>
    <phoneticPr fontId="4" type="noConversion"/>
  </si>
  <si>
    <t>% of cri_product_1o5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</si>
</sst>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10" fontId="0" fillId="0" borderId="1" xfId="1" applyNumberFormat="1" applyFont="1" applyBorder="1" applyAlignmen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C05A-7C3F-4666-BF8F-513AB320BCCA}">
  <dimension ref="A1:S5"/>
  <sheetViews>
    <sheetView workbookViewId="0">
      <selection activeCell="H19" sqref="H19"/>
    </sheetView>
  </sheetViews>
  <sheetFormatPr defaultRowHeight="16.899999999999999" x14ac:dyDescent="0.6"/>
  <cols>
    <col min="6" max="6" width="26.0625" bestFit="1" customWidth="1"/>
    <col min="7" max="7" width="11.1875" bestFit="1" customWidth="1"/>
  </cols>
  <sheetData>
    <row r="1" spans="1:19" ht="26.25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6">
      <c r="A2" s="3">
        <v>36748</v>
      </c>
      <c r="B2" s="3" t="s">
        <v>22</v>
      </c>
      <c r="C2" s="3" t="s">
        <v>23</v>
      </c>
      <c r="D2" s="3">
        <v>64931</v>
      </c>
      <c r="E2" s="3" t="b">
        <v>0</v>
      </c>
      <c r="F2" s="3" t="b">
        <v>0</v>
      </c>
      <c r="G2" s="3" t="s">
        <v>21</v>
      </c>
      <c r="H2" s="3">
        <v>0</v>
      </c>
      <c r="I2" s="3">
        <v>0</v>
      </c>
      <c r="J2" s="3">
        <v>8</v>
      </c>
      <c r="K2" s="3">
        <v>0</v>
      </c>
      <c r="L2" s="3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</row>
    <row r="3" spans="1:19" x14ac:dyDescent="0.6">
      <c r="A3" s="3">
        <v>49165</v>
      </c>
      <c r="B3" s="3" t="s">
        <v>25</v>
      </c>
      <c r="C3" s="3" t="s">
        <v>26</v>
      </c>
      <c r="D3" s="3">
        <v>82704</v>
      </c>
      <c r="E3" s="3" t="b">
        <v>0</v>
      </c>
      <c r="F3" s="3" t="b">
        <v>0</v>
      </c>
      <c r="G3" s="3" t="s">
        <v>20</v>
      </c>
      <c r="H3" s="3">
        <v>38</v>
      </c>
      <c r="I3" s="3">
        <v>34</v>
      </c>
      <c r="J3" s="3">
        <v>34</v>
      </c>
      <c r="K3" s="3">
        <v>0</v>
      </c>
      <c r="L3" s="3">
        <v>0</v>
      </c>
      <c r="M3" s="3" t="b">
        <v>1</v>
      </c>
      <c r="N3" s="3" t="b">
        <v>0</v>
      </c>
      <c r="O3" s="3" t="b">
        <v>0</v>
      </c>
      <c r="P3" s="3" t="b">
        <v>1</v>
      </c>
      <c r="Q3" s="3" t="b">
        <v>0</v>
      </c>
      <c r="R3" s="3" t="b">
        <v>0</v>
      </c>
      <c r="S3" s="3" t="b">
        <v>0</v>
      </c>
    </row>
    <row r="4" spans="1:19" x14ac:dyDescent="0.6">
      <c r="A4" s="3">
        <v>16846</v>
      </c>
      <c r="B4" s="3" t="s">
        <v>24</v>
      </c>
      <c r="C4" s="3" t="s">
        <v>27</v>
      </c>
      <c r="D4" s="3">
        <v>82704</v>
      </c>
      <c r="E4" s="3" t="b">
        <v>0</v>
      </c>
      <c r="F4" s="3" t="b">
        <v>0</v>
      </c>
      <c r="G4" s="3" t="s">
        <v>19</v>
      </c>
      <c r="H4" s="3">
        <v>8</v>
      </c>
      <c r="I4" s="3">
        <v>8</v>
      </c>
      <c r="J4" s="3">
        <v>8</v>
      </c>
      <c r="K4" s="3">
        <v>8</v>
      </c>
      <c r="L4" s="3">
        <v>8</v>
      </c>
      <c r="M4" s="3" t="b">
        <v>1</v>
      </c>
      <c r="N4" s="3" t="b">
        <v>1</v>
      </c>
      <c r="O4" s="3" t="b">
        <v>1</v>
      </c>
      <c r="P4" s="3" t="b">
        <v>1</v>
      </c>
      <c r="Q4" s="3" t="b">
        <v>1</v>
      </c>
      <c r="R4" s="3" t="b">
        <v>1</v>
      </c>
      <c r="S4" s="3" t="b">
        <v>1</v>
      </c>
    </row>
    <row r="5" spans="1:19" x14ac:dyDescent="0.6">
      <c r="A5" s="3">
        <v>46208</v>
      </c>
      <c r="B5" s="3" t="s">
        <v>28</v>
      </c>
      <c r="C5" s="3" t="s">
        <v>30</v>
      </c>
      <c r="D5" s="3">
        <v>64931</v>
      </c>
      <c r="E5" s="3" t="b">
        <v>0</v>
      </c>
      <c r="F5" s="3" t="b">
        <v>0</v>
      </c>
      <c r="G5" s="3" t="s">
        <v>29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DF13-9127-4FCE-A61E-A500295A52F8}">
  <dimension ref="C4:R30"/>
  <sheetViews>
    <sheetView topLeftCell="A4" workbookViewId="0">
      <selection activeCell="O13" sqref="O10:R21"/>
    </sheetView>
  </sheetViews>
  <sheetFormatPr defaultRowHeight="16.899999999999999" x14ac:dyDescent="0.6"/>
  <cols>
    <col min="3" max="3" width="24.75" bestFit="1" customWidth="1"/>
    <col min="4" max="9" width="11.875" customWidth="1"/>
    <col min="15" max="15" width="24.75" bestFit="1" customWidth="1"/>
    <col min="16" max="18" width="13.25" customWidth="1"/>
    <col min="21" max="21" width="24.75" bestFit="1" customWidth="1"/>
    <col min="22" max="24" width="15.625" customWidth="1"/>
  </cols>
  <sheetData>
    <row r="4" spans="3:18" ht="26.25" x14ac:dyDescent="0.6">
      <c r="L4" s="1" t="s">
        <v>0</v>
      </c>
      <c r="M4" s="1" t="s">
        <v>3</v>
      </c>
      <c r="O4" s="3" t="s">
        <v>31</v>
      </c>
      <c r="P4" s="4" t="s">
        <v>32</v>
      </c>
      <c r="Q4" s="5" t="s">
        <v>33</v>
      </c>
      <c r="R4" s="4" t="s">
        <v>34</v>
      </c>
    </row>
    <row r="5" spans="3:18" x14ac:dyDescent="0.6">
      <c r="L5" s="3">
        <v>36748</v>
      </c>
      <c r="M5" s="3">
        <v>64931</v>
      </c>
      <c r="O5" s="3" t="s">
        <v>35</v>
      </c>
      <c r="P5" s="6">
        <v>57035</v>
      </c>
      <c r="Q5" s="3">
        <v>57031</v>
      </c>
      <c r="R5" s="6">
        <v>57014</v>
      </c>
    </row>
    <row r="6" spans="3:18" x14ac:dyDescent="0.6">
      <c r="L6" s="3">
        <v>49165</v>
      </c>
      <c r="M6" s="3">
        <v>82704</v>
      </c>
      <c r="O6" s="3" t="s">
        <v>3</v>
      </c>
      <c r="P6" s="6">
        <v>57033</v>
      </c>
      <c r="Q6" s="3">
        <v>57031</v>
      </c>
      <c r="R6" s="6">
        <v>57014</v>
      </c>
    </row>
    <row r="7" spans="3:18" x14ac:dyDescent="0.6">
      <c r="L7" s="3">
        <v>16846</v>
      </c>
      <c r="M7" s="3">
        <v>82704</v>
      </c>
      <c r="O7" s="3" t="s">
        <v>2</v>
      </c>
      <c r="P7" s="6">
        <v>29084</v>
      </c>
      <c r="Q7" s="3">
        <v>29080</v>
      </c>
      <c r="R7" s="6">
        <v>29066</v>
      </c>
    </row>
    <row r="8" spans="3:18" x14ac:dyDescent="0.6">
      <c r="L8" s="3">
        <v>46208</v>
      </c>
      <c r="M8" s="3">
        <v>64931</v>
      </c>
      <c r="O8" s="3" t="s">
        <v>36</v>
      </c>
      <c r="P8" s="6">
        <v>10046</v>
      </c>
      <c r="Q8" s="3">
        <v>10046</v>
      </c>
      <c r="R8" s="6">
        <v>10042</v>
      </c>
    </row>
    <row r="10" spans="3:18" ht="26.25" x14ac:dyDescent="0.6">
      <c r="C10" s="3"/>
      <c r="D10" s="7" t="s">
        <v>32</v>
      </c>
      <c r="E10" s="8"/>
      <c r="F10" s="9" t="s">
        <v>33</v>
      </c>
      <c r="G10" s="10"/>
      <c r="H10" s="7" t="s">
        <v>34</v>
      </c>
      <c r="I10" s="8"/>
      <c r="O10" s="3"/>
      <c r="P10" s="4" t="s">
        <v>32</v>
      </c>
      <c r="Q10" s="5" t="s">
        <v>33</v>
      </c>
      <c r="R10" s="4" t="s">
        <v>34</v>
      </c>
    </row>
    <row r="11" spans="3:18" x14ac:dyDescent="0.6">
      <c r="C11" s="3" t="s">
        <v>31</v>
      </c>
      <c r="D11" s="6">
        <v>57035</v>
      </c>
      <c r="E11" s="6">
        <v>0</v>
      </c>
      <c r="F11" s="3">
        <v>57031</v>
      </c>
      <c r="G11" s="3">
        <v>0</v>
      </c>
      <c r="H11" s="6">
        <v>57014</v>
      </c>
      <c r="I11" s="6">
        <v>0</v>
      </c>
      <c r="O11" s="3" t="s">
        <v>35</v>
      </c>
      <c r="P11" s="6">
        <v>57035</v>
      </c>
      <c r="Q11" s="3">
        <v>57031</v>
      </c>
      <c r="R11" s="6">
        <v>57014</v>
      </c>
    </row>
    <row r="12" spans="3:18" x14ac:dyDescent="0.6">
      <c r="C12" s="3" t="s">
        <v>0</v>
      </c>
      <c r="D12" s="6">
        <v>10046</v>
      </c>
      <c r="E12" s="6">
        <v>0</v>
      </c>
      <c r="F12" s="3">
        <v>10046</v>
      </c>
      <c r="G12" s="3">
        <v>0</v>
      </c>
      <c r="H12" s="6">
        <v>10042</v>
      </c>
      <c r="I12" s="6">
        <v>0</v>
      </c>
      <c r="O12" s="3" t="s">
        <v>3</v>
      </c>
      <c r="P12" s="6">
        <v>57033</v>
      </c>
      <c r="Q12" s="3">
        <v>57031</v>
      </c>
      <c r="R12" s="6">
        <v>57014</v>
      </c>
    </row>
    <row r="13" spans="3:18" x14ac:dyDescent="0.6">
      <c r="C13" s="3" t="s">
        <v>1</v>
      </c>
      <c r="D13" s="6">
        <v>10046</v>
      </c>
      <c r="E13" s="6">
        <v>0</v>
      </c>
      <c r="F13" s="3">
        <v>10046</v>
      </c>
      <c r="G13" s="3">
        <v>0</v>
      </c>
      <c r="H13" s="6">
        <v>10042</v>
      </c>
      <c r="I13" s="6">
        <v>0</v>
      </c>
      <c r="O13" s="3" t="s">
        <v>5</v>
      </c>
      <c r="P13" s="6">
        <v>57031</v>
      </c>
      <c r="Q13" s="3">
        <v>57031</v>
      </c>
      <c r="R13" s="6">
        <v>57014</v>
      </c>
    </row>
    <row r="14" spans="3:18" x14ac:dyDescent="0.6">
      <c r="C14" s="3" t="s">
        <v>2</v>
      </c>
      <c r="D14" s="6">
        <v>29084</v>
      </c>
      <c r="E14" s="6">
        <v>0</v>
      </c>
      <c r="F14" s="3">
        <v>29080</v>
      </c>
      <c r="G14" s="3">
        <v>0</v>
      </c>
      <c r="H14" s="6">
        <v>29066</v>
      </c>
      <c r="I14" s="6">
        <v>0</v>
      </c>
      <c r="O14" s="3" t="s">
        <v>4</v>
      </c>
      <c r="P14" s="6">
        <v>57014</v>
      </c>
      <c r="Q14" s="3">
        <v>57014</v>
      </c>
      <c r="R14" s="6">
        <v>57014</v>
      </c>
    </row>
    <row r="15" spans="3:18" x14ac:dyDescent="0.6">
      <c r="C15" s="3" t="s">
        <v>3</v>
      </c>
      <c r="D15" s="6">
        <v>57033</v>
      </c>
      <c r="E15" s="6">
        <v>0</v>
      </c>
      <c r="F15" s="3">
        <v>57031</v>
      </c>
      <c r="G15" s="3">
        <v>0</v>
      </c>
      <c r="H15" s="6">
        <v>57014</v>
      </c>
      <c r="I15" s="6">
        <v>0</v>
      </c>
      <c r="O15" s="3" t="s">
        <v>12</v>
      </c>
      <c r="P15" s="6">
        <v>18292</v>
      </c>
      <c r="Q15" s="3">
        <v>18290</v>
      </c>
      <c r="R15" s="6">
        <v>18280</v>
      </c>
    </row>
    <row r="16" spans="3:18" x14ac:dyDescent="0.6">
      <c r="C16" s="3" t="s">
        <v>4</v>
      </c>
      <c r="D16" s="6">
        <v>2</v>
      </c>
      <c r="E16" s="6">
        <v>57014</v>
      </c>
      <c r="F16" s="3">
        <v>2</v>
      </c>
      <c r="G16" s="3">
        <v>57014</v>
      </c>
      <c r="H16" s="6">
        <v>1</v>
      </c>
      <c r="I16" s="6">
        <v>57014</v>
      </c>
      <c r="O16" s="3" t="s">
        <v>13</v>
      </c>
      <c r="P16" s="6">
        <v>16189</v>
      </c>
      <c r="Q16" s="3">
        <v>16188</v>
      </c>
      <c r="R16" s="6">
        <v>16183</v>
      </c>
    </row>
    <row r="17" spans="3:18" x14ac:dyDescent="0.6">
      <c r="C17" s="3" t="s">
        <v>5</v>
      </c>
      <c r="D17" s="6">
        <v>2</v>
      </c>
      <c r="E17" s="6">
        <v>57031</v>
      </c>
      <c r="F17" s="3">
        <v>1</v>
      </c>
      <c r="G17" s="3">
        <v>57031</v>
      </c>
      <c r="H17" s="6">
        <v>1</v>
      </c>
      <c r="I17" s="6">
        <v>57014</v>
      </c>
      <c r="O17" s="3" t="s">
        <v>14</v>
      </c>
      <c r="P17" s="6">
        <v>16189</v>
      </c>
      <c r="Q17" s="3">
        <v>16188</v>
      </c>
      <c r="R17" s="6">
        <v>16183</v>
      </c>
    </row>
    <row r="18" spans="3:18" x14ac:dyDescent="0.6">
      <c r="C18" s="3" t="s">
        <v>6</v>
      </c>
      <c r="D18" s="6">
        <v>3237</v>
      </c>
      <c r="E18" s="6">
        <v>0</v>
      </c>
      <c r="F18" s="3">
        <v>3237</v>
      </c>
      <c r="G18" s="3">
        <v>0</v>
      </c>
      <c r="H18" s="6">
        <v>3237</v>
      </c>
      <c r="I18" s="6">
        <v>0</v>
      </c>
      <c r="O18" s="3" t="s">
        <v>15</v>
      </c>
      <c r="P18" s="6">
        <v>15246</v>
      </c>
      <c r="Q18" s="3">
        <v>15245</v>
      </c>
      <c r="R18" s="6">
        <v>15238</v>
      </c>
    </row>
    <row r="19" spans="3:18" x14ac:dyDescent="0.6">
      <c r="C19" s="3" t="s">
        <v>7</v>
      </c>
      <c r="D19" s="6">
        <v>171</v>
      </c>
      <c r="E19" s="6">
        <v>0</v>
      </c>
      <c r="F19" s="3">
        <v>171</v>
      </c>
      <c r="G19" s="3">
        <v>0</v>
      </c>
      <c r="H19" s="6">
        <v>171</v>
      </c>
      <c r="I19" s="6">
        <v>0</v>
      </c>
      <c r="O19" s="3" t="s">
        <v>16</v>
      </c>
      <c r="P19" s="6">
        <v>10661</v>
      </c>
      <c r="Q19" s="3">
        <v>10661</v>
      </c>
      <c r="R19" s="6">
        <v>10661</v>
      </c>
    </row>
    <row r="20" spans="3:18" x14ac:dyDescent="0.6">
      <c r="C20" s="3" t="s">
        <v>8</v>
      </c>
      <c r="D20" s="6">
        <v>167</v>
      </c>
      <c r="E20" s="6">
        <v>0</v>
      </c>
      <c r="F20" s="3">
        <v>167</v>
      </c>
      <c r="G20" s="3">
        <v>0</v>
      </c>
      <c r="H20" s="6">
        <v>167</v>
      </c>
      <c r="I20" s="6">
        <v>0</v>
      </c>
      <c r="O20" s="3" t="s">
        <v>17</v>
      </c>
      <c r="P20" s="6">
        <v>7915</v>
      </c>
      <c r="Q20" s="3">
        <v>7915</v>
      </c>
      <c r="R20" s="6">
        <v>7915</v>
      </c>
    </row>
    <row r="21" spans="3:18" x14ac:dyDescent="0.6">
      <c r="C21" s="3" t="s">
        <v>9</v>
      </c>
      <c r="D21" s="6">
        <v>167</v>
      </c>
      <c r="E21" s="6">
        <v>0</v>
      </c>
      <c r="F21" s="3">
        <v>167</v>
      </c>
      <c r="G21" s="3">
        <v>0</v>
      </c>
      <c r="H21" s="6">
        <v>167</v>
      </c>
      <c r="I21" s="6">
        <v>0</v>
      </c>
      <c r="O21" s="3" t="s">
        <v>18</v>
      </c>
      <c r="P21" s="6">
        <v>3373</v>
      </c>
      <c r="Q21" s="3">
        <v>3373</v>
      </c>
      <c r="R21" s="6">
        <v>3373</v>
      </c>
    </row>
    <row r="22" spans="3:18" x14ac:dyDescent="0.6">
      <c r="C22" s="3" t="s">
        <v>10</v>
      </c>
      <c r="D22" s="6">
        <v>110</v>
      </c>
      <c r="E22" s="6">
        <v>0</v>
      </c>
      <c r="F22" s="3">
        <v>110</v>
      </c>
      <c r="G22" s="3">
        <v>0</v>
      </c>
      <c r="H22" s="6">
        <v>110</v>
      </c>
      <c r="I22" s="6">
        <v>0</v>
      </c>
    </row>
    <row r="23" spans="3:18" x14ac:dyDescent="0.6">
      <c r="C23" s="3" t="s">
        <v>11</v>
      </c>
      <c r="D23" s="6">
        <v>106</v>
      </c>
      <c r="E23" s="6">
        <v>0</v>
      </c>
      <c r="F23" s="3">
        <v>106</v>
      </c>
      <c r="G23" s="3">
        <v>0</v>
      </c>
      <c r="H23" s="6">
        <v>106</v>
      </c>
      <c r="I23" s="6">
        <v>0</v>
      </c>
    </row>
    <row r="24" spans="3:18" x14ac:dyDescent="0.6">
      <c r="C24" s="3" t="s">
        <v>12</v>
      </c>
      <c r="D24" s="6">
        <v>2</v>
      </c>
      <c r="E24" s="6">
        <v>18292</v>
      </c>
      <c r="F24" s="3">
        <v>2</v>
      </c>
      <c r="G24" s="3">
        <v>18290</v>
      </c>
      <c r="H24" s="6">
        <v>2</v>
      </c>
      <c r="I24" s="6">
        <v>18280</v>
      </c>
    </row>
    <row r="25" spans="3:18" x14ac:dyDescent="0.6">
      <c r="C25" s="3" t="s">
        <v>13</v>
      </c>
      <c r="D25" s="6">
        <v>2</v>
      </c>
      <c r="E25" s="6">
        <v>16189</v>
      </c>
      <c r="F25" s="3">
        <v>2</v>
      </c>
      <c r="G25" s="3">
        <v>16188</v>
      </c>
      <c r="H25" s="6">
        <v>2</v>
      </c>
      <c r="I25" s="6">
        <v>16183</v>
      </c>
    </row>
    <row r="26" spans="3:18" x14ac:dyDescent="0.6">
      <c r="C26" s="3" t="s">
        <v>14</v>
      </c>
      <c r="D26" s="6">
        <v>2</v>
      </c>
      <c r="E26" s="6">
        <v>16189</v>
      </c>
      <c r="F26" s="3">
        <v>2</v>
      </c>
      <c r="G26" s="3">
        <v>16188</v>
      </c>
      <c r="H26" s="6">
        <v>2</v>
      </c>
      <c r="I26" s="6">
        <v>16183</v>
      </c>
    </row>
    <row r="27" spans="3:18" x14ac:dyDescent="0.6">
      <c r="C27" s="3" t="s">
        <v>15</v>
      </c>
      <c r="D27" s="6">
        <v>2</v>
      </c>
      <c r="E27" s="6">
        <v>15246</v>
      </c>
      <c r="F27" s="3">
        <v>2</v>
      </c>
      <c r="G27" s="3">
        <v>15245</v>
      </c>
      <c r="H27" s="6">
        <v>2</v>
      </c>
      <c r="I27" s="6">
        <v>15238</v>
      </c>
    </row>
    <row r="28" spans="3:18" x14ac:dyDescent="0.6">
      <c r="C28" s="3" t="s">
        <v>16</v>
      </c>
      <c r="D28" s="6">
        <v>2</v>
      </c>
      <c r="E28" s="6">
        <v>10661</v>
      </c>
      <c r="F28" s="3">
        <v>2</v>
      </c>
      <c r="G28" s="3">
        <v>10661</v>
      </c>
      <c r="H28" s="6">
        <v>2</v>
      </c>
      <c r="I28" s="6">
        <v>10661</v>
      </c>
    </row>
    <row r="29" spans="3:18" x14ac:dyDescent="0.6">
      <c r="C29" s="3" t="s">
        <v>17</v>
      </c>
      <c r="D29" s="6">
        <v>2</v>
      </c>
      <c r="E29" s="6">
        <v>7915</v>
      </c>
      <c r="F29" s="3">
        <v>2</v>
      </c>
      <c r="G29" s="3">
        <v>7915</v>
      </c>
      <c r="H29" s="6">
        <v>2</v>
      </c>
      <c r="I29" s="6">
        <v>7915</v>
      </c>
    </row>
    <row r="30" spans="3:18" x14ac:dyDescent="0.6">
      <c r="C30" s="3" t="s">
        <v>18</v>
      </c>
      <c r="D30" s="6">
        <v>2</v>
      </c>
      <c r="E30" s="6">
        <v>3373</v>
      </c>
      <c r="F30" s="3">
        <v>2</v>
      </c>
      <c r="G30" s="3">
        <v>3373</v>
      </c>
      <c r="H30" s="6">
        <v>2</v>
      </c>
      <c r="I30" s="6">
        <v>3373</v>
      </c>
    </row>
  </sheetData>
  <mergeCells count="3">
    <mergeCell ref="D10:E10"/>
    <mergeCell ref="F10:G10"/>
    <mergeCell ref="H10:I10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D3B-1D2E-4CFF-B866-2B67FD5F6A74}">
  <dimension ref="E4:I24"/>
  <sheetViews>
    <sheetView tabSelected="1" workbookViewId="0">
      <selection activeCell="P12" sqref="P12"/>
    </sheetView>
  </sheetViews>
  <sheetFormatPr defaultRowHeight="16.899999999999999" x14ac:dyDescent="0.6"/>
  <cols>
    <col min="5" max="5" width="24.75" bestFit="1" customWidth="1"/>
    <col min="7" max="9" width="13.25" customWidth="1"/>
  </cols>
  <sheetData>
    <row r="4" spans="5:9" ht="33.75" x14ac:dyDescent="0.6">
      <c r="E4" s="11" t="s">
        <v>37</v>
      </c>
      <c r="F4" s="12" t="s">
        <v>38</v>
      </c>
      <c r="G4" s="4" t="s">
        <v>32</v>
      </c>
      <c r="H4" s="5" t="s">
        <v>33</v>
      </c>
      <c r="I4" s="4" t="s">
        <v>34</v>
      </c>
    </row>
    <row r="5" spans="5:9" x14ac:dyDescent="0.6">
      <c r="E5" s="3" t="s">
        <v>39</v>
      </c>
      <c r="F5" s="3">
        <v>352</v>
      </c>
      <c r="G5" s="6">
        <v>57035</v>
      </c>
      <c r="H5" s="3">
        <v>57031</v>
      </c>
      <c r="I5" s="6">
        <v>57014</v>
      </c>
    </row>
    <row r="6" spans="5:9" x14ac:dyDescent="0.6">
      <c r="E6" s="3" t="s">
        <v>3</v>
      </c>
      <c r="F6" s="3">
        <v>352</v>
      </c>
      <c r="G6" s="6">
        <v>57033</v>
      </c>
      <c r="H6" s="3">
        <v>57031</v>
      </c>
      <c r="I6" s="6">
        <v>57014</v>
      </c>
    </row>
    <row r="7" spans="5:9" x14ac:dyDescent="0.6">
      <c r="E7" s="3" t="s">
        <v>2</v>
      </c>
      <c r="F7" s="3"/>
      <c r="G7" s="6">
        <v>29084</v>
      </c>
      <c r="H7" s="3">
        <v>29080</v>
      </c>
      <c r="I7" s="6">
        <v>29066</v>
      </c>
    </row>
    <row r="8" spans="5:9" x14ac:dyDescent="0.6">
      <c r="E8" s="3" t="s">
        <v>36</v>
      </c>
      <c r="F8" s="3">
        <v>299</v>
      </c>
      <c r="G8" s="6">
        <v>10046</v>
      </c>
      <c r="H8" s="3">
        <v>10046</v>
      </c>
      <c r="I8" s="6">
        <v>10042</v>
      </c>
    </row>
    <row r="10" spans="5:9" ht="33.75" x14ac:dyDescent="0.6">
      <c r="E10" s="11" t="s">
        <v>37</v>
      </c>
      <c r="F10" s="12" t="s">
        <v>38</v>
      </c>
      <c r="G10" s="4" t="s">
        <v>32</v>
      </c>
      <c r="H10" s="5" t="s">
        <v>33</v>
      </c>
      <c r="I10" s="4" t="s">
        <v>34</v>
      </c>
    </row>
    <row r="11" spans="5:9" x14ac:dyDescent="0.6">
      <c r="E11" s="3" t="s">
        <v>39</v>
      </c>
      <c r="F11" s="3">
        <v>352</v>
      </c>
      <c r="G11" s="6">
        <v>57035</v>
      </c>
      <c r="H11" s="3">
        <v>57031</v>
      </c>
      <c r="I11" s="6">
        <v>57014</v>
      </c>
    </row>
    <row r="12" spans="5:9" x14ac:dyDescent="0.6">
      <c r="E12" s="3" t="s">
        <v>3</v>
      </c>
      <c r="F12" s="3">
        <v>352</v>
      </c>
      <c r="G12" s="6">
        <v>57033</v>
      </c>
      <c r="H12" s="3">
        <v>57031</v>
      </c>
      <c r="I12" s="6">
        <v>57014</v>
      </c>
    </row>
    <row r="13" spans="5:9" x14ac:dyDescent="0.6">
      <c r="E13" s="3" t="s">
        <v>5</v>
      </c>
      <c r="F13" s="3"/>
      <c r="G13" s="6">
        <v>57031</v>
      </c>
      <c r="H13" s="3">
        <v>57031</v>
      </c>
      <c r="I13" s="6">
        <v>57014</v>
      </c>
    </row>
    <row r="14" spans="5:9" x14ac:dyDescent="0.6">
      <c r="E14" s="3" t="s">
        <v>4</v>
      </c>
      <c r="F14" s="3"/>
      <c r="G14" s="6">
        <v>57014</v>
      </c>
      <c r="H14" s="3">
        <v>57014</v>
      </c>
      <c r="I14" s="6">
        <v>57014</v>
      </c>
    </row>
    <row r="15" spans="5:9" x14ac:dyDescent="0.6">
      <c r="E15" s="3" t="s">
        <v>12</v>
      </c>
      <c r="F15" s="3">
        <v>352</v>
      </c>
      <c r="G15" s="6">
        <v>18292</v>
      </c>
      <c r="H15" s="3">
        <v>18290</v>
      </c>
      <c r="I15" s="6">
        <v>18280</v>
      </c>
    </row>
    <row r="16" spans="5:9" x14ac:dyDescent="0.6">
      <c r="E16" s="3" t="s">
        <v>13</v>
      </c>
      <c r="F16" s="3">
        <v>352</v>
      </c>
      <c r="G16" s="6">
        <v>16189</v>
      </c>
      <c r="H16" s="3">
        <v>16188</v>
      </c>
      <c r="I16" s="6">
        <v>16183</v>
      </c>
    </row>
    <row r="17" spans="5:9" x14ac:dyDescent="0.6">
      <c r="E17" s="3" t="s">
        <v>14</v>
      </c>
      <c r="F17" s="3">
        <v>352</v>
      </c>
      <c r="G17" s="6">
        <v>16189</v>
      </c>
      <c r="H17" s="3">
        <v>16188</v>
      </c>
      <c r="I17" s="6">
        <v>16183</v>
      </c>
    </row>
    <row r="18" spans="5:9" x14ac:dyDescent="0.6">
      <c r="E18" s="3" t="s">
        <v>15</v>
      </c>
      <c r="F18" s="3"/>
      <c r="G18" s="6">
        <v>15246</v>
      </c>
      <c r="H18" s="3">
        <v>15245</v>
      </c>
      <c r="I18" s="6">
        <v>15238</v>
      </c>
    </row>
    <row r="19" spans="5:9" x14ac:dyDescent="0.6">
      <c r="E19" s="3" t="s">
        <v>16</v>
      </c>
      <c r="F19" s="3">
        <v>270</v>
      </c>
      <c r="G19" s="6">
        <v>10661</v>
      </c>
      <c r="H19" s="3">
        <v>10661</v>
      </c>
      <c r="I19" s="6">
        <v>10661</v>
      </c>
    </row>
    <row r="20" spans="5:9" x14ac:dyDescent="0.6">
      <c r="E20" s="3" t="s">
        <v>17</v>
      </c>
      <c r="F20" s="3">
        <v>187</v>
      </c>
      <c r="G20" s="6">
        <v>7915</v>
      </c>
      <c r="H20" s="3">
        <v>7915</v>
      </c>
      <c r="I20" s="6">
        <v>7915</v>
      </c>
    </row>
    <row r="21" spans="5:9" x14ac:dyDescent="0.6">
      <c r="E21" s="3" t="s">
        <v>18</v>
      </c>
      <c r="F21" s="3">
        <v>71</v>
      </c>
      <c r="G21" s="6">
        <v>3373</v>
      </c>
      <c r="H21" s="3">
        <v>3373</v>
      </c>
      <c r="I21" s="6">
        <v>3373</v>
      </c>
    </row>
    <row r="22" spans="5:9" x14ac:dyDescent="0.6">
      <c r="E22" s="3" t="s">
        <v>40</v>
      </c>
      <c r="F22" s="13">
        <f>F19/F$17</f>
        <v>0.76704545454545459</v>
      </c>
      <c r="G22" s="13">
        <f t="shared" ref="G22:I22" si="0">G19/G$17</f>
        <v>0.65853357217863984</v>
      </c>
      <c r="H22" s="13">
        <f t="shared" si="0"/>
        <v>0.65857425253274027</v>
      </c>
      <c r="I22" s="13">
        <f t="shared" si="0"/>
        <v>0.65877772971636905</v>
      </c>
    </row>
    <row r="23" spans="5:9" x14ac:dyDescent="0.6">
      <c r="E23" s="3" t="s">
        <v>41</v>
      </c>
      <c r="F23" s="13">
        <f t="shared" ref="F23:I24" si="1">F20/F$17</f>
        <v>0.53125</v>
      </c>
      <c r="G23" s="13">
        <f t="shared" si="1"/>
        <v>0.4889122243498672</v>
      </c>
      <c r="H23" s="13">
        <f t="shared" si="1"/>
        <v>0.48894242648875713</v>
      </c>
      <c r="I23" s="13">
        <f t="shared" si="1"/>
        <v>0.48909349317184703</v>
      </c>
    </row>
    <row r="24" spans="5:9" x14ac:dyDescent="0.6">
      <c r="E24" s="3" t="s">
        <v>42</v>
      </c>
      <c r="F24" s="13">
        <f t="shared" si="1"/>
        <v>0.20170454545454544</v>
      </c>
      <c r="G24" s="13">
        <f t="shared" si="1"/>
        <v>0.20835134968188276</v>
      </c>
      <c r="H24" s="13">
        <f t="shared" si="1"/>
        <v>0.20836422041018038</v>
      </c>
      <c r="I24" s="13">
        <f t="shared" si="1"/>
        <v>0.20842859791138849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dup sample_id</vt:lpstr>
      <vt:lpstr>dup table - samples</vt:lpstr>
      <vt:lpstr>vs tematdb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Byungki Ryu</cp:lastModifiedBy>
  <dcterms:created xsi:type="dcterms:W3CDTF">2025-05-12T18:25:18Z</dcterms:created>
  <dcterms:modified xsi:type="dcterms:W3CDTF">2025-05-12T19:00:34Z</dcterms:modified>
</cp:coreProperties>
</file>