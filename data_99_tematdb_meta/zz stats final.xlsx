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Z:\gitgit\032 teMatDb1.1.6 to csv and filter  -- 20250513\data_99_tematdb_meta\"/>
    </mc:Choice>
  </mc:AlternateContent>
  <xr:revisionPtr revIDLastSave="0" documentId="13_ncr:1_{E898731F-8814-4075-B5E1-22EF02503F5D}" xr6:coauthVersionLast="47" xr6:coauthVersionMax="47" xr10:uidLastSave="{00000000-0000-0000-0000-000000000000}"/>
  <bookViews>
    <workbookView xWindow="-28898" yWindow="-98" windowWidth="28996" windowHeight="15675" activeTab="1" xr2:uid="{ED13C715-D9DF-4616-84E8-08639CA72005}"/>
  </bookViews>
  <sheets>
    <sheet name="tematdb" sheetId="5" r:id="rId1"/>
    <sheet name="starrydata2 vs tematdb" sheetId="4" r:id="rId2"/>
    <sheet name="Sheet2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9" i="4" l="1"/>
  <c r="R29" i="4"/>
  <c r="Q29" i="4"/>
  <c r="P29" i="4"/>
  <c r="S28" i="4"/>
  <c r="R28" i="4"/>
  <c r="Q28" i="4"/>
  <c r="P28" i="4"/>
  <c r="S27" i="4"/>
  <c r="R27" i="4"/>
  <c r="Q27" i="4"/>
  <c r="P27" i="4"/>
  <c r="S26" i="4"/>
  <c r="R26" i="4"/>
  <c r="Q26" i="4"/>
  <c r="S20" i="4"/>
  <c r="R20" i="4"/>
  <c r="S19" i="4"/>
  <c r="R19" i="4"/>
  <c r="Q19" i="4"/>
  <c r="M25" i="4"/>
  <c r="L25" i="4"/>
  <c r="M24" i="4"/>
  <c r="L24" i="4"/>
  <c r="M23" i="4"/>
  <c r="L23" i="4"/>
  <c r="M22" i="4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I116" i="6"/>
  <c r="M26" i="6" s="1"/>
  <c r="I115" i="6"/>
  <c r="M25" i="6" s="1"/>
  <c r="I114" i="6"/>
  <c r="M24" i="6" s="1"/>
  <c r="I113" i="6"/>
  <c r="M23" i="6" s="1"/>
  <c r="I112" i="6"/>
  <c r="M22" i="6" s="1"/>
  <c r="I111" i="6"/>
  <c r="M21" i="6" s="1"/>
  <c r="I110" i="6"/>
  <c r="M20" i="6" s="1"/>
  <c r="I109" i="6"/>
  <c r="M19" i="6" s="1"/>
  <c r="I108" i="6"/>
  <c r="M18" i="6" s="1"/>
  <c r="I107" i="6"/>
  <c r="M17" i="6" s="1"/>
  <c r="I106" i="6"/>
  <c r="M16" i="6" s="1"/>
  <c r="I105" i="6"/>
  <c r="M15" i="6" s="1"/>
  <c r="I104" i="6"/>
  <c r="M14" i="6" s="1"/>
  <c r="I103" i="6"/>
  <c r="M13" i="6" s="1"/>
  <c r="I102" i="6"/>
  <c r="M12" i="6" s="1"/>
  <c r="I101" i="6"/>
  <c r="M11" i="6" s="1"/>
  <c r="I100" i="6"/>
  <c r="M10" i="6" s="1"/>
  <c r="I99" i="6"/>
  <c r="M9" i="6" s="1"/>
  <c r="I98" i="6"/>
  <c r="M8" i="6" s="1"/>
  <c r="I97" i="6"/>
  <c r="M7" i="6" s="1"/>
  <c r="I71" i="6"/>
  <c r="K26" i="6" s="1"/>
  <c r="I70" i="6"/>
  <c r="K25" i="6" s="1"/>
  <c r="I69" i="6"/>
  <c r="K24" i="6" s="1"/>
  <c r="I68" i="6"/>
  <c r="K23" i="6" s="1"/>
  <c r="I67" i="6"/>
  <c r="K22" i="6" s="1"/>
  <c r="I66" i="6"/>
  <c r="K21" i="6" s="1"/>
  <c r="I65" i="6"/>
  <c r="K20" i="6" s="1"/>
  <c r="I64" i="6"/>
  <c r="K19" i="6" s="1"/>
  <c r="I63" i="6"/>
  <c r="K18" i="6" s="1"/>
  <c r="I62" i="6"/>
  <c r="K17" i="6" s="1"/>
  <c r="I61" i="6"/>
  <c r="K16" i="6" s="1"/>
  <c r="I60" i="6"/>
  <c r="K15" i="6" s="1"/>
  <c r="I59" i="6"/>
  <c r="K14" i="6" s="1"/>
  <c r="I58" i="6"/>
  <c r="K13" i="6" s="1"/>
  <c r="I57" i="6"/>
  <c r="K12" i="6" s="1"/>
  <c r="I56" i="6"/>
  <c r="K11" i="6" s="1"/>
  <c r="I55" i="6"/>
  <c r="K10" i="6" s="1"/>
  <c r="I54" i="6"/>
  <c r="K9" i="6" s="1"/>
  <c r="I53" i="6"/>
  <c r="K8" i="6" s="1"/>
  <c r="I52" i="6"/>
  <c r="K7" i="6" s="1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</calcChain>
</file>

<file path=xl/sharedStrings.xml><?xml version="1.0" encoding="utf-8"?>
<sst xmlns="http://schemas.openxmlformats.org/spreadsheetml/2006/main" count="368" uniqueCount="150">
  <si>
    <t>SID</t>
  </si>
  <si>
    <t>DOI</t>
  </si>
  <si>
    <t>composition</t>
  </si>
  <si>
    <t>sample_id</t>
  </si>
  <si>
    <t>is_SID_not_duplicated</t>
  </si>
  <si>
    <t>is_sample_id_not_duplicated</t>
  </si>
  <si>
    <t>published</t>
  </si>
  <si>
    <t>len_alpha</t>
  </si>
  <si>
    <t>len_rho</t>
  </si>
  <si>
    <t>len_kappa</t>
  </si>
  <si>
    <t>len_PF</t>
  </si>
  <si>
    <t>len_ZT</t>
  </si>
  <si>
    <t>pykeri_TEP_readable</t>
  </si>
  <si>
    <t>pykeri_TEPZT_readable</t>
  </si>
  <si>
    <t>TF_matzt_complete</t>
  </si>
  <si>
    <t>classic_all_filters</t>
  </si>
  <si>
    <t>cri_product_def</t>
  </si>
  <si>
    <t>cri_product_1o2</t>
  </si>
  <si>
    <t>cri_product_1o5</t>
  </si>
  <si>
    <t>all data cases</t>
  </si>
  <si>
    <t>sample_id not duplicated</t>
    <phoneticPr fontId="2" type="noConversion"/>
  </si>
  <si>
    <t>SID not duplicated</t>
    <phoneticPr fontId="2" type="noConversion"/>
  </si>
  <si>
    <t>SID or DOI</t>
    <phoneticPr fontId="2" type="noConversion"/>
  </si>
  <si>
    <t>number of samples</t>
    <phoneticPr fontId="2" type="noConversion"/>
  </si>
  <si>
    <t>teMatDb v1.1.6</t>
    <phoneticPr fontId="2" type="noConversion"/>
  </si>
  <si>
    <t>ALL (distinguished samples)</t>
    <phoneticPr fontId="2" type="noConversion"/>
  </si>
  <si>
    <t>% of cri_product_def</t>
    <phoneticPr fontId="2" type="noConversion"/>
  </si>
  <si>
    <t>% of cri_product_1o2</t>
    <phoneticPr fontId="2" type="noConversion"/>
  </si>
  <si>
    <t>% of cri_product_1o5</t>
    <phoneticPr fontId="2" type="noConversion"/>
  </si>
  <si>
    <t>YEAR</t>
  </si>
  <si>
    <t>DOIlink</t>
  </si>
  <si>
    <t>dbnanme</t>
  </si>
  <si>
    <t>dbversion</t>
  </si>
  <si>
    <t>pykeri_compatible</t>
  </si>
  <si>
    <t>TF_mat_complete</t>
  </si>
  <si>
    <t>fraction_Ts_TEPZToverTEPZTex</t>
  </si>
  <si>
    <t>is_Temperature_range_valid</t>
  </si>
  <si>
    <t>autoTc</t>
  </si>
  <si>
    <t>autoTh</t>
  </si>
  <si>
    <t>ztTc</t>
  </si>
  <si>
    <t>ztTh</t>
  </si>
  <si>
    <t>Tc_ofTEP</t>
  </si>
  <si>
    <t>Th_ofTEP</t>
  </si>
  <si>
    <t>Tc_ofZT</t>
  </si>
  <si>
    <t>Th_ofZT</t>
  </si>
  <si>
    <t>Tc_ofTEPZT</t>
  </si>
  <si>
    <t>Th_ofTEPZT</t>
  </si>
  <si>
    <t>deltaT_ofTEP</t>
  </si>
  <si>
    <t>deltaT_ofZT</t>
  </si>
  <si>
    <t>deltaT_ofTEPZT</t>
  </si>
  <si>
    <t>avg_ZT_ofRawFig</t>
  </si>
  <si>
    <t>avg_ZT_ofTEPEval</t>
  </si>
  <si>
    <t>peak_ZT_ofRawFig</t>
  </si>
  <si>
    <t>peak_ZT_ofTEPEval</t>
  </si>
  <si>
    <t>d_Tmid</t>
  </si>
  <si>
    <t>d_avgZT</t>
  </si>
  <si>
    <t>d_peakZT</t>
  </si>
  <si>
    <t>errdZT_Linf</t>
  </si>
  <si>
    <t>errdZT_L2</t>
  </si>
  <si>
    <t>errdZT_L1</t>
  </si>
  <si>
    <t>is_avg_ZT_ofRawFig_positiveFinite</t>
  </si>
  <si>
    <t>is_avg_ZT_ofTEPEval_positiveFinite</t>
  </si>
  <si>
    <t>ispeak_ZT_ofRawFig_positiveFinite</t>
  </si>
  <si>
    <t>is_peak_ZT_ofTEPEval_positiveFinite</t>
  </si>
  <si>
    <t>errdZT_Linf_over_avg_ZT_ofRawFig</t>
  </si>
  <si>
    <t>errdZT_Linf_over_avg_ZT_ofTEPEval</t>
  </si>
  <si>
    <t>errdZT_Linf_over_peak_ZT_ofRawFig</t>
  </si>
  <si>
    <t>errdZT_Linf_over_peak_ZT_ofTEPEval</t>
  </si>
  <si>
    <t>Column 'cri_product_def' has 2 unique non-null values.</t>
  </si>
  <si>
    <t>Column 'cri_product_1o2' has 2 unique non-null values.</t>
  </si>
  <si>
    <t>Column 'cri_product_1o5' has 2 unique non-null values.</t>
  </si>
  <si>
    <t>Column 'DOI' has 0 True values.</t>
  </si>
  <si>
    <t>Column 'sample_id' has 0 True values.</t>
  </si>
  <si>
    <t>uniques</t>
    <phoneticPr fontId="2" type="noConversion"/>
  </si>
  <si>
    <t>True counts</t>
    <phoneticPr fontId="2" type="noConversion"/>
  </si>
  <si>
    <t>sample_id</t>
    <phoneticPr fontId="2" type="noConversion"/>
  </si>
  <si>
    <t>DOI</t>
    <phoneticPr fontId="2" type="noConversion"/>
  </si>
  <si>
    <t>TF_matzt_complete</t>
    <phoneticPr fontId="2" type="noConversion"/>
  </si>
  <si>
    <t>Starrydata2 20250501</t>
    <phoneticPr fontId="2" type="noConversion"/>
  </si>
  <si>
    <t>columns</t>
    <phoneticPr fontId="2" type="noConversion"/>
  </si>
  <si>
    <t>ZT_error_table_dropna</t>
  </si>
  <si>
    <t>ZT_error_table_dropna</t>
    <phoneticPr fontId="2" type="noConversion"/>
  </si>
  <si>
    <t>df_report_scZT_anomaly</t>
    <phoneticPr fontId="2" type="noConversion"/>
  </si>
  <si>
    <t>SID and sample_id pair unique cases:  57035</t>
  </si>
  <si>
    <t>Column 'SID' has 10046 unique non-null values.</t>
  </si>
  <si>
    <t>Column 'DOI' has 10046 unique non-null values.</t>
  </si>
  <si>
    <t>Column 'composition' has 29084 unique non-null values.</t>
  </si>
  <si>
    <t>Column 'sample_id' has 57033 unique non-null values.</t>
  </si>
  <si>
    <t>Column 'is_SID_not_duplicated' has 2 unique non-null values.</t>
  </si>
  <si>
    <t>Column 'is_sample_id_not_duplicated' has 2 unique non-null values.</t>
  </si>
  <si>
    <t>Column 'published' has 3237 unique non-null values.</t>
  </si>
  <si>
    <t>Column 'len_alpha' has 171 unique non-null values.</t>
  </si>
  <si>
    <t>Column 'len_rho' has 167 unique non-null values.</t>
  </si>
  <si>
    <t>Column 'len_kappa' has 167 unique non-null values.</t>
  </si>
  <si>
    <t>Column 'len_PF' has 110 unique non-null values.</t>
  </si>
  <si>
    <t>Column 'len_ZT' has 106 unique non-null values.</t>
  </si>
  <si>
    <t>Column 'pykeri_TEP_readable' has 2 unique non-null values.</t>
  </si>
  <si>
    <t>Column 'pykeri_TEPZT_readable' has 2 unique non-null values.</t>
  </si>
  <si>
    <t>Column 'TF_matzt_complete' has 2 unique non-null values.</t>
  </si>
  <si>
    <t>Column 'classic_all_filters' has 2 unique non-null values.</t>
  </si>
  <si>
    <t>Column 'SID' has 0 True values.</t>
  </si>
  <si>
    <t>Column 'composition' has 0 True values.</t>
  </si>
  <si>
    <t>Column 'is_SID_not_duplicated' has 57014 True values.</t>
  </si>
  <si>
    <t>Column 'is_sample_id_not_duplicated' has 57031 True values.</t>
  </si>
  <si>
    <t>Column 'published' has 0 True values.</t>
  </si>
  <si>
    <t>Column 'len_alpha' has 0 True values.</t>
  </si>
  <si>
    <t>Column 'len_rho' has 0 True values.</t>
  </si>
  <si>
    <t>Column 'len_kappa' has 0 True values.</t>
  </si>
  <si>
    <t>Column 'len_PF' has 0 True values.</t>
  </si>
  <si>
    <t>Column 'len_ZT' has 0 True values.</t>
  </si>
  <si>
    <t>Column 'pykeri_TEP_readable' has 18292 True values.</t>
  </si>
  <si>
    <t>Column 'pykeri_TEPZT_readable' has 16189 True values.</t>
  </si>
  <si>
    <t>Column 'TF_matzt_complete' has 16189 True values.</t>
  </si>
  <si>
    <t>Column 'classic_all_filters' has 15246 True values.</t>
  </si>
  <si>
    <t>Column 'cri_product_def' has 11067 True values.</t>
  </si>
  <si>
    <t>Column 'cri_product_1o2' has 8136 True values.</t>
  </si>
  <si>
    <t>Column 'cri_product_1o5' has 3424 True values.</t>
  </si>
  <si>
    <t>sample_id not duplicated cases</t>
  </si>
  <si>
    <t>SID and sample_id pair unique cases:  57031</t>
  </si>
  <si>
    <t>Column 'composition' has 29080 unique non-null values.</t>
  </si>
  <si>
    <t>Column 'sample_id' has 57031 unique non-null values.</t>
  </si>
  <si>
    <t>Column 'is_sample_id_not_duplicated' has 1 unique non-null values.</t>
  </si>
  <si>
    <t>Column 'pykeri_TEP_readable' has 18290 True values.</t>
  </si>
  <si>
    <t>Column 'pykeri_TEPZT_readable' has 16188 True values.</t>
  </si>
  <si>
    <t>Column 'TF_matzt_complete' has 16188 True values.</t>
  </si>
  <si>
    <t>Column 'classic_all_filters' has 15245 True values.</t>
  </si>
  <si>
    <t>SID not duplicated cases</t>
  </si>
  <si>
    <t>SID and sample_id pair unique cases:  57014</t>
  </si>
  <si>
    <t>Column 'SID' has 10042 unique non-null values.</t>
  </si>
  <si>
    <t>Column 'DOI' has 10042 unique non-null values.</t>
  </si>
  <si>
    <t>Column 'composition' has 29066 unique non-null values.</t>
  </si>
  <si>
    <t>Column 'sample_id' has 57014 unique non-null values.</t>
  </si>
  <si>
    <t>Column 'is_SID_not_duplicated' has 1 unique non-null values.</t>
  </si>
  <si>
    <t>Column 'is_sample_id_not_duplicated' has 57014 True values.</t>
  </si>
  <si>
    <t>Column 'pykeri_TEP_readable' has 18280 True values.</t>
  </si>
  <si>
    <t>Column 'pykeri_TEPZT_readable' has 16183 True values.</t>
  </si>
  <si>
    <t>Column 'TF_matzt_complete' has 16183 True values.</t>
  </si>
  <si>
    <t>Column 'classic_all_filters' has 15238 True values.</t>
  </si>
  <si>
    <t>% of classic_all_filters</t>
    <phoneticPr fontId="2" type="noConversion"/>
  </si>
  <si>
    <t>Column 'ZT_error_table_dropna' has 1 unique non-null values.</t>
  </si>
  <si>
    <t>Column 'ZT_error_table_dropna' has 15972 True values.</t>
  </si>
  <si>
    <t>Column 'ZT_error_table_dropna' has 15971 True values.</t>
  </si>
  <si>
    <t>Column 'ZT_error_table_dropna' has 15966 True values.</t>
  </si>
  <si>
    <t>classic_all_filters False cases</t>
    <phoneticPr fontId="2" type="noConversion"/>
  </si>
  <si>
    <t>SID counts</t>
    <phoneticPr fontId="2" type="noConversion"/>
  </si>
  <si>
    <t>SID (DOI)</t>
    <phoneticPr fontId="2" type="noConversion"/>
  </si>
  <si>
    <t>ALL (distinguished samples or DOI)</t>
    <phoneticPr fontId="2" type="noConversion"/>
  </si>
  <si>
    <t>all data cases samples</t>
    <phoneticPr fontId="2" type="noConversion"/>
  </si>
  <si>
    <t>all data cases</t>
    <phoneticPr fontId="2" type="noConversion"/>
  </si>
  <si>
    <t>counts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</si>
</sst>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9">
    <xf numFmtId="0" fontId="0" fillId="0" borderId="0" xfId="0"/>
    <xf numFmtId="0" fontId="0" fillId="0" borderId="1" xfId="0" applyBorder="1"/>
    <xf numFmtId="0" fontId="3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4" fillId="2" borderId="1" xfId="0" applyFont="1" applyFill="1" applyBorder="1"/>
    <xf numFmtId="0" fontId="5" fillId="0" borderId="1" xfId="0" applyFont="1" applyBorder="1" applyAlignment="1">
      <alignment horizontal="center" vertical="top"/>
    </xf>
    <xf numFmtId="0" fontId="0" fillId="0" borderId="1" xfId="0" applyBorder="1" applyAlignment="1">
      <alignment wrapText="1"/>
    </xf>
    <xf numFmtId="10" fontId="0" fillId="0" borderId="1" xfId="1" applyNumberFormat="1" applyFont="1" applyBorder="1" applyAlignment="1"/>
    <xf numFmtId="0" fontId="5" fillId="0" borderId="1" xfId="0" applyFont="1" applyBorder="1"/>
    <xf numFmtId="0" fontId="6" fillId="0" borderId="1" xfId="0" applyFont="1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7" fillId="3" borderId="1" xfId="0" applyFont="1" applyFill="1" applyBorder="1"/>
    <xf numFmtId="0" fontId="4" fillId="3" borderId="1" xfId="0" applyFont="1" applyFill="1" applyBorder="1"/>
    <xf numFmtId="0" fontId="0" fillId="0" borderId="3" xfId="0" applyBorder="1" applyAlignment="1">
      <alignment horizontal="center"/>
    </xf>
    <xf numFmtId="0" fontId="6" fillId="3" borderId="1" xfId="0" applyFont="1" applyFill="1" applyBorder="1"/>
    <xf numFmtId="0" fontId="0" fillId="0" borderId="2" xfId="0" applyBorder="1" applyAlignment="1">
      <alignment wrapText="1"/>
    </xf>
    <xf numFmtId="0" fontId="0" fillId="0" borderId="1" xfId="0" applyBorder="1" applyAlignment="1"/>
    <xf numFmtId="0" fontId="0" fillId="0" borderId="2" xfId="0" applyBorder="1" applyAlignment="1"/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9F881-73D6-4278-93F4-7E29FF056B1C}">
  <dimension ref="F4:H48"/>
  <sheetViews>
    <sheetView workbookViewId="0"/>
  </sheetViews>
  <sheetFormatPr defaultRowHeight="16.899999999999999" x14ac:dyDescent="0.6"/>
  <cols>
    <col min="6" max="6" width="31.375" bestFit="1" customWidth="1"/>
    <col min="7" max="8" width="14.5" customWidth="1"/>
  </cols>
  <sheetData>
    <row r="4" spans="6:8" x14ac:dyDescent="0.6">
      <c r="F4" s="1"/>
      <c r="G4" s="1" t="s">
        <v>73</v>
      </c>
      <c r="H4" s="1" t="s">
        <v>74</v>
      </c>
    </row>
    <row r="5" spans="6:8" x14ac:dyDescent="0.6">
      <c r="F5" s="1" t="s">
        <v>1</v>
      </c>
      <c r="G5" s="1">
        <v>374</v>
      </c>
      <c r="H5" s="1">
        <v>0</v>
      </c>
    </row>
    <row r="6" spans="6:8" x14ac:dyDescent="0.6">
      <c r="F6" s="8" t="s">
        <v>3</v>
      </c>
      <c r="G6" s="8">
        <v>424</v>
      </c>
      <c r="H6" s="1">
        <v>0</v>
      </c>
    </row>
    <row r="7" spans="6:8" x14ac:dyDescent="0.6">
      <c r="F7" s="1" t="s">
        <v>29</v>
      </c>
      <c r="G7" s="1">
        <v>27</v>
      </c>
      <c r="H7" s="1">
        <v>0</v>
      </c>
    </row>
    <row r="8" spans="6:8" x14ac:dyDescent="0.6">
      <c r="F8" s="1" t="s">
        <v>30</v>
      </c>
      <c r="G8" s="1">
        <v>374</v>
      </c>
      <c r="H8" s="1">
        <v>0</v>
      </c>
    </row>
    <row r="9" spans="6:8" x14ac:dyDescent="0.6">
      <c r="F9" s="1" t="s">
        <v>31</v>
      </c>
      <c r="G9" s="1">
        <v>1</v>
      </c>
      <c r="H9" s="1">
        <v>0</v>
      </c>
    </row>
    <row r="10" spans="6:8" x14ac:dyDescent="0.6">
      <c r="F10" s="1" t="s">
        <v>32</v>
      </c>
      <c r="G10" s="1">
        <v>1</v>
      </c>
      <c r="H10" s="1">
        <v>0</v>
      </c>
    </row>
    <row r="11" spans="6:8" x14ac:dyDescent="0.6">
      <c r="F11" s="1" t="s">
        <v>33</v>
      </c>
      <c r="G11" s="1">
        <v>1</v>
      </c>
      <c r="H11" s="1">
        <v>355</v>
      </c>
    </row>
    <row r="12" spans="6:8" x14ac:dyDescent="0.6">
      <c r="F12" s="1" t="s">
        <v>34</v>
      </c>
      <c r="G12" s="1">
        <v>1</v>
      </c>
      <c r="H12" s="1">
        <v>355</v>
      </c>
    </row>
    <row r="13" spans="6:8" x14ac:dyDescent="0.6">
      <c r="F13" s="1" t="s">
        <v>35</v>
      </c>
      <c r="G13" s="1">
        <v>219</v>
      </c>
      <c r="H13" s="1">
        <v>0</v>
      </c>
    </row>
    <row r="14" spans="6:8" x14ac:dyDescent="0.6">
      <c r="F14" s="1" t="s">
        <v>36</v>
      </c>
      <c r="G14" s="1">
        <v>1</v>
      </c>
      <c r="H14" s="1">
        <v>355</v>
      </c>
    </row>
    <row r="15" spans="6:8" x14ac:dyDescent="0.6">
      <c r="F15" s="1" t="s">
        <v>37</v>
      </c>
      <c r="G15" s="1">
        <v>332</v>
      </c>
      <c r="H15" s="1">
        <v>0</v>
      </c>
    </row>
    <row r="16" spans="6:8" x14ac:dyDescent="0.6">
      <c r="F16" s="1" t="s">
        <v>38</v>
      </c>
      <c r="G16" s="1">
        <v>348</v>
      </c>
      <c r="H16" s="1">
        <v>0</v>
      </c>
    </row>
    <row r="17" spans="6:8" x14ac:dyDescent="0.6">
      <c r="F17" s="1" t="s">
        <v>39</v>
      </c>
      <c r="G17" s="1">
        <v>329</v>
      </c>
      <c r="H17" s="1">
        <v>0</v>
      </c>
    </row>
    <row r="18" spans="6:8" x14ac:dyDescent="0.6">
      <c r="F18" s="1" t="s">
        <v>40</v>
      </c>
      <c r="G18" s="1">
        <v>348</v>
      </c>
      <c r="H18" s="1">
        <v>0</v>
      </c>
    </row>
    <row r="19" spans="6:8" x14ac:dyDescent="0.6">
      <c r="F19" s="1" t="s">
        <v>41</v>
      </c>
      <c r="G19" s="1">
        <v>51</v>
      </c>
      <c r="H19" s="1">
        <v>0</v>
      </c>
    </row>
    <row r="20" spans="6:8" x14ac:dyDescent="0.6">
      <c r="F20" s="1" t="s">
        <v>42</v>
      </c>
      <c r="G20" s="1">
        <v>167</v>
      </c>
      <c r="H20" s="1">
        <v>0</v>
      </c>
    </row>
    <row r="21" spans="6:8" x14ac:dyDescent="0.6">
      <c r="F21" s="1" t="s">
        <v>43</v>
      </c>
      <c r="G21" s="1">
        <v>51</v>
      </c>
      <c r="H21" s="1">
        <v>0</v>
      </c>
    </row>
    <row r="22" spans="6:8" x14ac:dyDescent="0.6">
      <c r="F22" s="1" t="s">
        <v>44</v>
      </c>
      <c r="G22" s="1">
        <v>162</v>
      </c>
      <c r="H22" s="1">
        <v>0</v>
      </c>
    </row>
    <row r="23" spans="6:8" x14ac:dyDescent="0.6">
      <c r="F23" s="1" t="s">
        <v>45</v>
      </c>
      <c r="G23" s="1">
        <v>54</v>
      </c>
      <c r="H23" s="1">
        <v>0</v>
      </c>
    </row>
    <row r="24" spans="6:8" x14ac:dyDescent="0.6">
      <c r="F24" s="1" t="s">
        <v>46</v>
      </c>
      <c r="G24" s="1">
        <v>168</v>
      </c>
      <c r="H24" s="1">
        <v>0</v>
      </c>
    </row>
    <row r="25" spans="6:8" x14ac:dyDescent="0.6">
      <c r="F25" s="1" t="s">
        <v>47</v>
      </c>
      <c r="G25" s="1">
        <v>186</v>
      </c>
      <c r="H25" s="1">
        <v>0</v>
      </c>
    </row>
    <row r="26" spans="6:8" x14ac:dyDescent="0.6">
      <c r="F26" s="1" t="s">
        <v>48</v>
      </c>
      <c r="G26" s="1">
        <v>178</v>
      </c>
      <c r="H26" s="1">
        <v>0</v>
      </c>
    </row>
    <row r="27" spans="6:8" x14ac:dyDescent="0.6">
      <c r="F27" s="1" t="s">
        <v>49</v>
      </c>
      <c r="G27" s="1">
        <v>185</v>
      </c>
      <c r="H27" s="1">
        <v>0</v>
      </c>
    </row>
    <row r="28" spans="6:8" x14ac:dyDescent="0.6">
      <c r="F28" s="1" t="s">
        <v>50</v>
      </c>
      <c r="G28" s="1">
        <v>355</v>
      </c>
      <c r="H28" s="1">
        <v>0</v>
      </c>
    </row>
    <row r="29" spans="6:8" x14ac:dyDescent="0.6">
      <c r="F29" s="1" t="s">
        <v>51</v>
      </c>
      <c r="G29" s="1">
        <v>355</v>
      </c>
      <c r="H29" s="1">
        <v>0</v>
      </c>
    </row>
    <row r="30" spans="6:8" x14ac:dyDescent="0.6">
      <c r="F30" s="1" t="s">
        <v>52</v>
      </c>
      <c r="G30" s="1">
        <v>355</v>
      </c>
      <c r="H30" s="1">
        <v>0</v>
      </c>
    </row>
    <row r="31" spans="6:8" x14ac:dyDescent="0.6">
      <c r="F31" s="1" t="s">
        <v>53</v>
      </c>
      <c r="G31" s="1">
        <v>355</v>
      </c>
      <c r="H31" s="1">
        <v>0</v>
      </c>
    </row>
    <row r="32" spans="6:8" x14ac:dyDescent="0.6">
      <c r="F32" s="1" t="s">
        <v>54</v>
      </c>
      <c r="G32" s="1">
        <v>41</v>
      </c>
      <c r="H32" s="1">
        <v>0</v>
      </c>
    </row>
    <row r="33" spans="6:8" x14ac:dyDescent="0.6">
      <c r="F33" s="1" t="s">
        <v>55</v>
      </c>
      <c r="G33" s="1">
        <v>355</v>
      </c>
      <c r="H33" s="1">
        <v>0</v>
      </c>
    </row>
    <row r="34" spans="6:8" x14ac:dyDescent="0.6">
      <c r="F34" s="1" t="s">
        <v>56</v>
      </c>
      <c r="G34" s="1">
        <v>355</v>
      </c>
      <c r="H34" s="1">
        <v>0</v>
      </c>
    </row>
    <row r="35" spans="6:8" x14ac:dyDescent="0.6">
      <c r="F35" s="1" t="s">
        <v>57</v>
      </c>
      <c r="G35" s="1">
        <v>355</v>
      </c>
      <c r="H35" s="1">
        <v>0</v>
      </c>
    </row>
    <row r="36" spans="6:8" x14ac:dyDescent="0.6">
      <c r="F36" s="1" t="s">
        <v>58</v>
      </c>
      <c r="G36" s="1">
        <v>355</v>
      </c>
      <c r="H36" s="1">
        <v>0</v>
      </c>
    </row>
    <row r="37" spans="6:8" x14ac:dyDescent="0.6">
      <c r="F37" s="1" t="s">
        <v>59</v>
      </c>
      <c r="G37" s="1">
        <v>355</v>
      </c>
      <c r="H37" s="1">
        <v>0</v>
      </c>
    </row>
    <row r="38" spans="6:8" x14ac:dyDescent="0.6">
      <c r="F38" s="1" t="s">
        <v>60</v>
      </c>
      <c r="G38" s="1">
        <v>1</v>
      </c>
      <c r="H38" s="1">
        <v>355</v>
      </c>
    </row>
    <row r="39" spans="6:8" x14ac:dyDescent="0.6">
      <c r="F39" s="1" t="s">
        <v>61</v>
      </c>
      <c r="G39" s="1">
        <v>1</v>
      </c>
      <c r="H39" s="1">
        <v>355</v>
      </c>
    </row>
    <row r="40" spans="6:8" x14ac:dyDescent="0.6">
      <c r="F40" s="1" t="s">
        <v>62</v>
      </c>
      <c r="G40" s="1">
        <v>1</v>
      </c>
      <c r="H40" s="1">
        <v>355</v>
      </c>
    </row>
    <row r="41" spans="6:8" x14ac:dyDescent="0.6">
      <c r="F41" s="1" t="s">
        <v>63</v>
      </c>
      <c r="G41" s="1">
        <v>1</v>
      </c>
      <c r="H41" s="1">
        <v>355</v>
      </c>
    </row>
    <row r="42" spans="6:8" x14ac:dyDescent="0.6">
      <c r="F42" s="1" t="s">
        <v>64</v>
      </c>
      <c r="G42" s="1">
        <v>355</v>
      </c>
      <c r="H42" s="1">
        <v>0</v>
      </c>
    </row>
    <row r="43" spans="6:8" x14ac:dyDescent="0.6">
      <c r="F43" s="1" t="s">
        <v>65</v>
      </c>
      <c r="G43" s="1">
        <v>355</v>
      </c>
      <c r="H43" s="1">
        <v>0</v>
      </c>
    </row>
    <row r="44" spans="6:8" x14ac:dyDescent="0.6">
      <c r="F44" s="1" t="s">
        <v>66</v>
      </c>
      <c r="G44" s="1">
        <v>355</v>
      </c>
      <c r="H44" s="1">
        <v>0</v>
      </c>
    </row>
    <row r="45" spans="6:8" x14ac:dyDescent="0.6">
      <c r="F45" s="1" t="s">
        <v>67</v>
      </c>
      <c r="G45" s="1">
        <v>355</v>
      </c>
      <c r="H45" s="1">
        <v>0</v>
      </c>
    </row>
    <row r="46" spans="6:8" x14ac:dyDescent="0.6">
      <c r="F46" s="1" t="s">
        <v>16</v>
      </c>
      <c r="G46" s="1">
        <v>2</v>
      </c>
      <c r="H46" s="1">
        <v>272</v>
      </c>
    </row>
    <row r="47" spans="6:8" x14ac:dyDescent="0.6">
      <c r="F47" s="1" t="s">
        <v>17</v>
      </c>
      <c r="G47" s="1">
        <v>2</v>
      </c>
      <c r="H47" s="1">
        <v>187</v>
      </c>
    </row>
    <row r="48" spans="6:8" x14ac:dyDescent="0.6">
      <c r="F48" s="1" t="s">
        <v>18</v>
      </c>
      <c r="G48" s="1">
        <v>2</v>
      </c>
      <c r="H48" s="1">
        <v>71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12D3B-1D2E-4CFF-B866-2B67FD5F6A74}">
  <dimension ref="D3:S29"/>
  <sheetViews>
    <sheetView tabSelected="1" topLeftCell="G1" workbookViewId="0">
      <selection activeCell="V14" sqref="V14"/>
    </sheetView>
  </sheetViews>
  <sheetFormatPr defaultRowHeight="16.899999999999999" x14ac:dyDescent="0.6"/>
  <cols>
    <col min="4" max="4" width="31.1875" bestFit="1" customWidth="1"/>
    <col min="6" max="8" width="13.25" customWidth="1"/>
    <col min="11" max="11" width="31.1875" bestFit="1" customWidth="1"/>
    <col min="12" max="13" width="18.25" customWidth="1"/>
    <col min="15" max="15" width="31.1875" bestFit="1" customWidth="1"/>
    <col min="17" max="19" width="13.25" customWidth="1"/>
  </cols>
  <sheetData>
    <row r="3" spans="4:19" ht="16.899999999999999" customHeight="1" x14ac:dyDescent="0.6"/>
    <row r="10" spans="4:19" ht="16.899999999999999" customHeight="1" x14ac:dyDescent="0.6">
      <c r="E10" s="16" t="s">
        <v>24</v>
      </c>
      <c r="F10" s="11" t="s">
        <v>78</v>
      </c>
      <c r="G10" s="11"/>
      <c r="H10" s="11"/>
      <c r="K10" s="1"/>
      <c r="L10" s="10" t="s">
        <v>24</v>
      </c>
      <c r="M10" s="17" t="s">
        <v>78</v>
      </c>
      <c r="N10" s="17"/>
      <c r="O10" s="17"/>
      <c r="P10" s="18" t="s">
        <v>24</v>
      </c>
      <c r="Q10" s="14" t="s">
        <v>78</v>
      </c>
      <c r="R10" s="14"/>
      <c r="S10" s="14"/>
    </row>
    <row r="11" spans="4:19" ht="33.75" customHeight="1" x14ac:dyDescent="0.6">
      <c r="D11" s="5" t="s">
        <v>79</v>
      </c>
      <c r="E11" s="6" t="s">
        <v>75</v>
      </c>
      <c r="F11" s="2" t="s">
        <v>148</v>
      </c>
      <c r="G11" s="3" t="s">
        <v>20</v>
      </c>
      <c r="H11" s="2" t="s">
        <v>21</v>
      </c>
      <c r="K11" s="5" t="s">
        <v>149</v>
      </c>
      <c r="L11" s="6" t="s">
        <v>76</v>
      </c>
      <c r="M11" s="1" t="s">
        <v>145</v>
      </c>
      <c r="O11" s="5" t="s">
        <v>23</v>
      </c>
      <c r="P11" s="6" t="s">
        <v>75</v>
      </c>
      <c r="Q11" s="2" t="s">
        <v>147</v>
      </c>
      <c r="R11" s="3" t="s">
        <v>20</v>
      </c>
      <c r="S11" s="2" t="s">
        <v>21</v>
      </c>
    </row>
    <row r="12" spans="4:19" x14ac:dyDescent="0.6">
      <c r="D12" s="1" t="s">
        <v>25</v>
      </c>
      <c r="E12" s="1">
        <v>424</v>
      </c>
      <c r="F12" s="4">
        <v>57035</v>
      </c>
      <c r="G12" s="1">
        <v>57031</v>
      </c>
      <c r="H12" s="4">
        <v>57014</v>
      </c>
      <c r="K12" s="1" t="s">
        <v>146</v>
      </c>
      <c r="L12" s="1">
        <v>341</v>
      </c>
      <c r="M12" s="1">
        <v>10046</v>
      </c>
      <c r="O12" s="1" t="s">
        <v>25</v>
      </c>
      <c r="P12" s="1">
        <v>355</v>
      </c>
      <c r="Q12" s="4">
        <v>57035</v>
      </c>
      <c r="R12" s="1">
        <v>57031</v>
      </c>
      <c r="S12" s="4">
        <v>57014</v>
      </c>
    </row>
    <row r="13" spans="4:19" x14ac:dyDescent="0.6">
      <c r="D13" s="1" t="s">
        <v>3</v>
      </c>
      <c r="E13" s="9">
        <v>424</v>
      </c>
      <c r="F13" s="4">
        <v>57033</v>
      </c>
      <c r="G13" s="1">
        <v>57031</v>
      </c>
      <c r="H13" s="4">
        <v>57014</v>
      </c>
      <c r="K13" s="1" t="s">
        <v>4</v>
      </c>
      <c r="L13" s="1"/>
      <c r="M13" s="1">
        <v>10042</v>
      </c>
      <c r="O13" s="1" t="s">
        <v>3</v>
      </c>
      <c r="P13" s="1">
        <v>355</v>
      </c>
      <c r="Q13" s="4">
        <v>57033</v>
      </c>
      <c r="R13" s="9">
        <v>57031</v>
      </c>
      <c r="S13" s="4">
        <v>57014</v>
      </c>
    </row>
    <row r="14" spans="4:19" x14ac:dyDescent="0.6">
      <c r="D14" s="1" t="s">
        <v>2</v>
      </c>
      <c r="E14" s="1"/>
      <c r="F14" s="4">
        <v>29084</v>
      </c>
      <c r="G14" s="1">
        <v>29080</v>
      </c>
      <c r="H14" s="4">
        <v>29066</v>
      </c>
      <c r="K14" s="1" t="s">
        <v>12</v>
      </c>
      <c r="L14" s="1">
        <v>341</v>
      </c>
      <c r="M14" s="1">
        <v>3630</v>
      </c>
      <c r="O14" s="1" t="s">
        <v>5</v>
      </c>
      <c r="P14" s="1"/>
      <c r="Q14" s="4">
        <v>57031</v>
      </c>
      <c r="R14" s="9">
        <v>57031</v>
      </c>
      <c r="S14" s="4">
        <v>57014</v>
      </c>
    </row>
    <row r="15" spans="4:19" x14ac:dyDescent="0.6">
      <c r="D15" s="1" t="s">
        <v>22</v>
      </c>
      <c r="E15" s="1">
        <v>374</v>
      </c>
      <c r="F15" s="4">
        <v>10046</v>
      </c>
      <c r="G15" s="1">
        <v>10046</v>
      </c>
      <c r="H15" s="4">
        <v>10042</v>
      </c>
      <c r="K15" s="1" t="s">
        <v>13</v>
      </c>
      <c r="L15" s="1">
        <v>341</v>
      </c>
      <c r="M15" s="1">
        <v>3151</v>
      </c>
      <c r="O15" s="1" t="s">
        <v>4</v>
      </c>
      <c r="P15" s="1"/>
      <c r="Q15" s="4">
        <v>57014</v>
      </c>
      <c r="R15" s="9">
        <v>57014</v>
      </c>
      <c r="S15" s="4">
        <v>57014</v>
      </c>
    </row>
    <row r="16" spans="4:19" x14ac:dyDescent="0.6">
      <c r="K16" s="1" t="s">
        <v>77</v>
      </c>
      <c r="L16" s="1">
        <v>341</v>
      </c>
      <c r="M16" s="1">
        <v>3151</v>
      </c>
      <c r="O16" s="1" t="s">
        <v>12</v>
      </c>
      <c r="P16" s="1">
        <v>355</v>
      </c>
      <c r="Q16" s="4">
        <v>18292</v>
      </c>
      <c r="R16" s="9">
        <v>18290</v>
      </c>
      <c r="S16" s="4">
        <v>18280</v>
      </c>
    </row>
    <row r="17" spans="11:19" x14ac:dyDescent="0.6">
      <c r="K17" s="12" t="s">
        <v>81</v>
      </c>
      <c r="L17" s="12"/>
      <c r="M17" s="1">
        <v>3093</v>
      </c>
      <c r="O17" s="1" t="s">
        <v>13</v>
      </c>
      <c r="P17" s="1">
        <v>355</v>
      </c>
      <c r="Q17" s="4">
        <v>16189</v>
      </c>
      <c r="R17" s="9">
        <v>16188</v>
      </c>
      <c r="S17" s="4">
        <v>16183</v>
      </c>
    </row>
    <row r="18" spans="11:19" x14ac:dyDescent="0.6">
      <c r="K18" s="1" t="s">
        <v>15</v>
      </c>
      <c r="L18" s="1"/>
      <c r="M18" s="1">
        <v>2904</v>
      </c>
      <c r="O18" s="1" t="s">
        <v>77</v>
      </c>
      <c r="P18" s="1">
        <v>355</v>
      </c>
      <c r="Q18" s="4">
        <v>16189</v>
      </c>
      <c r="R18" s="9">
        <v>16188</v>
      </c>
      <c r="S18" s="4">
        <v>16183</v>
      </c>
    </row>
    <row r="19" spans="11:19" x14ac:dyDescent="0.6">
      <c r="K19" s="1" t="s">
        <v>16</v>
      </c>
      <c r="L19" s="1">
        <v>262</v>
      </c>
      <c r="M19" s="1">
        <v>2040</v>
      </c>
      <c r="O19" s="1" t="s">
        <v>143</v>
      </c>
      <c r="P19" s="1"/>
      <c r="Q19" s="4">
        <f>Q16-Q22</f>
        <v>3046</v>
      </c>
      <c r="R19" s="9">
        <f t="shared" ref="R19:S19" si="0">R16-R22</f>
        <v>3045</v>
      </c>
      <c r="S19" s="4">
        <f t="shared" si="0"/>
        <v>3042</v>
      </c>
    </row>
    <row r="20" spans="11:19" x14ac:dyDescent="0.6">
      <c r="K20" s="1" t="s">
        <v>17</v>
      </c>
      <c r="L20" s="1">
        <v>182</v>
      </c>
      <c r="M20" s="1">
        <v>1467</v>
      </c>
      <c r="O20" s="12" t="s">
        <v>82</v>
      </c>
      <c r="P20" s="12"/>
      <c r="Q20" s="13">
        <v>217</v>
      </c>
      <c r="R20" s="15">
        <f>R18-R21</f>
        <v>217</v>
      </c>
      <c r="S20" s="15">
        <f>S18-S21</f>
        <v>217</v>
      </c>
    </row>
    <row r="21" spans="11:19" x14ac:dyDescent="0.6">
      <c r="K21" s="1" t="s">
        <v>18</v>
      </c>
      <c r="L21" s="1">
        <v>70</v>
      </c>
      <c r="M21" s="1">
        <v>637</v>
      </c>
      <c r="O21" s="12" t="s">
        <v>81</v>
      </c>
      <c r="P21" s="12"/>
      <c r="Q21" s="13">
        <v>15972</v>
      </c>
      <c r="R21" s="15">
        <v>15971</v>
      </c>
      <c r="S21" s="13">
        <v>15966</v>
      </c>
    </row>
    <row r="22" spans="11:19" x14ac:dyDescent="0.6">
      <c r="K22" s="1" t="s">
        <v>138</v>
      </c>
      <c r="L22" s="1"/>
      <c r="M22" s="7">
        <f>M18/M$14</f>
        <v>0.8</v>
      </c>
      <c r="O22" s="1" t="s">
        <v>15</v>
      </c>
      <c r="P22" s="1"/>
      <c r="Q22" s="4">
        <v>15246</v>
      </c>
      <c r="R22" s="9">
        <v>15245</v>
      </c>
      <c r="S22" s="4">
        <v>15238</v>
      </c>
    </row>
    <row r="23" spans="11:19" x14ac:dyDescent="0.6">
      <c r="K23" s="1" t="s">
        <v>26</v>
      </c>
      <c r="L23" s="7">
        <f>L19/L$14</f>
        <v>0.76832844574780057</v>
      </c>
      <c r="M23" s="7">
        <f>M19/M$14</f>
        <v>0.56198347107438018</v>
      </c>
      <c r="O23" s="1" t="s">
        <v>16</v>
      </c>
      <c r="P23" s="1">
        <v>272</v>
      </c>
      <c r="Q23" s="4">
        <v>11067</v>
      </c>
      <c r="R23" s="9">
        <v>11067</v>
      </c>
      <c r="S23" s="4">
        <v>11067</v>
      </c>
    </row>
    <row r="24" spans="11:19" x14ac:dyDescent="0.6">
      <c r="K24" s="1" t="s">
        <v>27</v>
      </c>
      <c r="L24" s="7">
        <f>L20/L$14</f>
        <v>0.53372434017595305</v>
      </c>
      <c r="M24" s="7">
        <f>M20/M$14</f>
        <v>0.40413223140495869</v>
      </c>
      <c r="O24" s="1" t="s">
        <v>17</v>
      </c>
      <c r="P24" s="1">
        <v>187</v>
      </c>
      <c r="Q24" s="4">
        <v>8136</v>
      </c>
      <c r="R24" s="9">
        <v>8136</v>
      </c>
      <c r="S24" s="4">
        <v>8136</v>
      </c>
    </row>
    <row r="25" spans="11:19" x14ac:dyDescent="0.6">
      <c r="K25" s="1" t="s">
        <v>28</v>
      </c>
      <c r="L25" s="7">
        <f>L21/L$14</f>
        <v>0.20527859237536658</v>
      </c>
      <c r="M25" s="7">
        <f>M21/M$14</f>
        <v>0.17548209366391185</v>
      </c>
      <c r="O25" s="1" t="s">
        <v>18</v>
      </c>
      <c r="P25" s="1">
        <v>71</v>
      </c>
      <c r="Q25" s="4">
        <v>3424</v>
      </c>
      <c r="R25" s="9">
        <v>3424</v>
      </c>
      <c r="S25" s="4">
        <v>3424</v>
      </c>
    </row>
    <row r="26" spans="11:19" x14ac:dyDescent="0.6">
      <c r="O26" s="1" t="s">
        <v>138</v>
      </c>
      <c r="P26" s="1"/>
      <c r="Q26" s="7">
        <f>Q22/Q$16</f>
        <v>0.83347911655368467</v>
      </c>
      <c r="R26" s="7">
        <f t="shared" ref="R26:S26" si="1">R22/R$16</f>
        <v>0.8335155822854019</v>
      </c>
      <c r="S26" s="7">
        <f t="shared" si="1"/>
        <v>0.83358862144420132</v>
      </c>
    </row>
    <row r="27" spans="11:19" x14ac:dyDescent="0.6">
      <c r="O27" s="1" t="s">
        <v>26</v>
      </c>
      <c r="P27" s="7">
        <f>P23/P$16</f>
        <v>0.76619718309859153</v>
      </c>
      <c r="Q27" s="7">
        <f>Q23/Q$16</f>
        <v>0.60501858736059477</v>
      </c>
      <c r="R27" s="7">
        <f t="shared" ref="R27:S27" si="2">R23/R$16</f>
        <v>0.60508474576271187</v>
      </c>
      <c r="S27" s="7">
        <f t="shared" si="2"/>
        <v>0.6054157549234136</v>
      </c>
    </row>
    <row r="28" spans="11:19" x14ac:dyDescent="0.6">
      <c r="O28" s="1" t="s">
        <v>27</v>
      </c>
      <c r="P28" s="7">
        <f>P24/P$16</f>
        <v>0.52676056338028165</v>
      </c>
      <c r="Q28" s="7">
        <f t="shared" ref="Q28:S28" si="3">Q24/Q$16</f>
        <v>0.44478460529193092</v>
      </c>
      <c r="R28" s="7">
        <f t="shared" si="3"/>
        <v>0.44483324220885728</v>
      </c>
      <c r="S28" s="7">
        <f t="shared" si="3"/>
        <v>0.44507658643326037</v>
      </c>
    </row>
    <row r="29" spans="11:19" x14ac:dyDescent="0.6">
      <c r="O29" s="1" t="s">
        <v>28</v>
      </c>
      <c r="P29" s="7">
        <f>P25/P$16</f>
        <v>0.2</v>
      </c>
      <c r="Q29" s="7">
        <f t="shared" ref="Q29:S29" si="4">Q25/Q$16</f>
        <v>0.18718565493111744</v>
      </c>
      <c r="R29" s="7">
        <f t="shared" si="4"/>
        <v>0.1872061235647895</v>
      </c>
      <c r="S29" s="7">
        <f t="shared" si="4"/>
        <v>0.18730853391684901</v>
      </c>
    </row>
  </sheetData>
  <mergeCells count="2">
    <mergeCell ref="Q10:S10"/>
    <mergeCell ref="F10:H10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7D426-2C4F-4926-8CA5-67182291FBC3}">
  <dimension ref="F5:S137"/>
  <sheetViews>
    <sheetView workbookViewId="0"/>
  </sheetViews>
  <sheetFormatPr defaultRowHeight="16.899999999999999" x14ac:dyDescent="0.6"/>
  <cols>
    <col min="7" max="7" width="24.75" bestFit="1" customWidth="1"/>
    <col min="17" max="17" width="24.75" bestFit="1" customWidth="1"/>
  </cols>
  <sheetData>
    <row r="5" spans="6:19" x14ac:dyDescent="0.6">
      <c r="F5" t="s">
        <v>19</v>
      </c>
      <c r="S5" t="s">
        <v>144</v>
      </c>
    </row>
    <row r="6" spans="6:19" x14ac:dyDescent="0.6">
      <c r="F6" t="s">
        <v>83</v>
      </c>
    </row>
    <row r="7" spans="6:19" x14ac:dyDescent="0.6">
      <c r="F7" t="s">
        <v>84</v>
      </c>
      <c r="G7" s="1" t="s">
        <v>0</v>
      </c>
      <c r="H7" s="1">
        <v>10046</v>
      </c>
      <c r="I7" s="1">
        <f>H28</f>
        <v>0</v>
      </c>
      <c r="J7" s="1">
        <f>H52</f>
        <v>10046</v>
      </c>
      <c r="K7" s="1">
        <f t="shared" ref="K7:K26" si="0">I52</f>
        <v>0</v>
      </c>
      <c r="L7" s="1">
        <f>H97</f>
        <v>10042</v>
      </c>
      <c r="M7" s="1">
        <f t="shared" ref="M7:M26" si="1">I97</f>
        <v>0</v>
      </c>
      <c r="Q7" t="s">
        <v>0</v>
      </c>
      <c r="R7">
        <v>10046</v>
      </c>
      <c r="S7">
        <v>0</v>
      </c>
    </row>
    <row r="8" spans="6:19" x14ac:dyDescent="0.6">
      <c r="F8" t="s">
        <v>85</v>
      </c>
      <c r="G8" s="1" t="s">
        <v>1</v>
      </c>
      <c r="H8" s="1">
        <v>10046</v>
      </c>
      <c r="I8" s="1">
        <f t="shared" ref="I8:I26" si="2">H29</f>
        <v>0</v>
      </c>
      <c r="J8" s="1">
        <f t="shared" ref="J8:J26" si="3">H53</f>
        <v>10046</v>
      </c>
      <c r="K8" s="1">
        <f t="shared" si="0"/>
        <v>0</v>
      </c>
      <c r="L8" s="1">
        <f t="shared" ref="L8:L26" si="4">H98</f>
        <v>10042</v>
      </c>
      <c r="M8" s="1">
        <f t="shared" si="1"/>
        <v>0</v>
      </c>
      <c r="Q8" t="s">
        <v>1</v>
      </c>
      <c r="R8">
        <v>10046</v>
      </c>
      <c r="S8">
        <v>0</v>
      </c>
    </row>
    <row r="9" spans="6:19" x14ac:dyDescent="0.6">
      <c r="F9" t="s">
        <v>86</v>
      </c>
      <c r="G9" s="1" t="s">
        <v>2</v>
      </c>
      <c r="H9" s="1">
        <v>29084</v>
      </c>
      <c r="I9" s="1">
        <f t="shared" si="2"/>
        <v>0</v>
      </c>
      <c r="J9" s="1">
        <f t="shared" si="3"/>
        <v>29080</v>
      </c>
      <c r="K9" s="1">
        <f t="shared" si="0"/>
        <v>0</v>
      </c>
      <c r="L9" s="1">
        <f t="shared" si="4"/>
        <v>29066</v>
      </c>
      <c r="M9" s="1">
        <f t="shared" si="1"/>
        <v>0</v>
      </c>
      <c r="Q9" t="s">
        <v>2</v>
      </c>
      <c r="R9">
        <v>5908</v>
      </c>
      <c r="S9">
        <v>0</v>
      </c>
    </row>
    <row r="10" spans="6:19" x14ac:dyDescent="0.6">
      <c r="F10" t="s">
        <v>87</v>
      </c>
      <c r="G10" s="1" t="s">
        <v>3</v>
      </c>
      <c r="H10" s="1">
        <v>57033</v>
      </c>
      <c r="I10" s="1">
        <f t="shared" si="2"/>
        <v>0</v>
      </c>
      <c r="J10" s="1">
        <f t="shared" si="3"/>
        <v>57031</v>
      </c>
      <c r="K10" s="1">
        <f t="shared" si="0"/>
        <v>0</v>
      </c>
      <c r="L10" s="1">
        <f t="shared" si="4"/>
        <v>57014</v>
      </c>
      <c r="M10" s="1">
        <f t="shared" si="1"/>
        <v>0</v>
      </c>
      <c r="Q10" t="s">
        <v>3</v>
      </c>
      <c r="R10">
        <v>10046</v>
      </c>
      <c r="S10">
        <v>0</v>
      </c>
    </row>
    <row r="11" spans="6:19" x14ac:dyDescent="0.6">
      <c r="F11" t="s">
        <v>88</v>
      </c>
      <c r="G11" s="1" t="s">
        <v>4</v>
      </c>
      <c r="H11" s="1">
        <v>2</v>
      </c>
      <c r="I11" s="1">
        <f t="shared" si="2"/>
        <v>57014</v>
      </c>
      <c r="J11" s="1">
        <f t="shared" si="3"/>
        <v>2</v>
      </c>
      <c r="K11" s="1">
        <f t="shared" si="0"/>
        <v>57014</v>
      </c>
      <c r="L11" s="1">
        <f t="shared" si="4"/>
        <v>1</v>
      </c>
      <c r="M11" s="1">
        <f t="shared" si="1"/>
        <v>57014</v>
      </c>
      <c r="Q11" t="s">
        <v>4</v>
      </c>
      <c r="R11">
        <v>2</v>
      </c>
      <c r="S11">
        <v>10042</v>
      </c>
    </row>
    <row r="12" spans="6:19" x14ac:dyDescent="0.6">
      <c r="F12" t="s">
        <v>89</v>
      </c>
      <c r="G12" s="1" t="s">
        <v>5</v>
      </c>
      <c r="H12" s="1">
        <v>2</v>
      </c>
      <c r="I12" s="1">
        <f t="shared" si="2"/>
        <v>57031</v>
      </c>
      <c r="J12" s="1">
        <f t="shared" si="3"/>
        <v>1</v>
      </c>
      <c r="K12" s="1">
        <f t="shared" si="0"/>
        <v>57031</v>
      </c>
      <c r="L12" s="1">
        <f t="shared" si="4"/>
        <v>1</v>
      </c>
      <c r="M12" s="1">
        <f t="shared" si="1"/>
        <v>57014</v>
      </c>
      <c r="Q12" t="s">
        <v>5</v>
      </c>
      <c r="R12">
        <v>1</v>
      </c>
      <c r="S12">
        <v>10046</v>
      </c>
    </row>
    <row r="13" spans="6:19" x14ac:dyDescent="0.6">
      <c r="F13" t="s">
        <v>90</v>
      </c>
      <c r="G13" s="1" t="s">
        <v>6</v>
      </c>
      <c r="H13" s="1">
        <v>3237</v>
      </c>
      <c r="I13" s="1">
        <f t="shared" si="2"/>
        <v>0</v>
      </c>
      <c r="J13" s="1">
        <f t="shared" si="3"/>
        <v>3237</v>
      </c>
      <c r="K13" s="1">
        <f t="shared" si="0"/>
        <v>0</v>
      </c>
      <c r="L13" s="1">
        <f t="shared" si="4"/>
        <v>3237</v>
      </c>
      <c r="M13" s="1">
        <f t="shared" si="1"/>
        <v>0</v>
      </c>
      <c r="Q13" t="s">
        <v>6</v>
      </c>
      <c r="R13">
        <v>3237</v>
      </c>
      <c r="S13">
        <v>0</v>
      </c>
    </row>
    <row r="14" spans="6:19" x14ac:dyDescent="0.6">
      <c r="F14" t="s">
        <v>91</v>
      </c>
      <c r="G14" s="1" t="s">
        <v>7</v>
      </c>
      <c r="H14" s="1">
        <v>171</v>
      </c>
      <c r="I14" s="1">
        <f t="shared" si="2"/>
        <v>0</v>
      </c>
      <c r="J14" s="1">
        <f t="shared" si="3"/>
        <v>171</v>
      </c>
      <c r="K14" s="1">
        <f t="shared" si="0"/>
        <v>0</v>
      </c>
      <c r="L14" s="1">
        <f t="shared" si="4"/>
        <v>171</v>
      </c>
      <c r="M14" s="1">
        <f t="shared" si="1"/>
        <v>0</v>
      </c>
      <c r="Q14" t="s">
        <v>7</v>
      </c>
      <c r="R14">
        <v>135</v>
      </c>
      <c r="S14">
        <v>0</v>
      </c>
    </row>
    <row r="15" spans="6:19" x14ac:dyDescent="0.6">
      <c r="F15" t="s">
        <v>92</v>
      </c>
      <c r="G15" s="1" t="s">
        <v>8</v>
      </c>
      <c r="H15" s="1">
        <v>167</v>
      </c>
      <c r="I15" s="1">
        <f t="shared" si="2"/>
        <v>0</v>
      </c>
      <c r="J15" s="1">
        <f t="shared" si="3"/>
        <v>167</v>
      </c>
      <c r="K15" s="1">
        <f t="shared" si="0"/>
        <v>0</v>
      </c>
      <c r="L15" s="1">
        <f t="shared" si="4"/>
        <v>167</v>
      </c>
      <c r="M15" s="1">
        <f t="shared" si="1"/>
        <v>0</v>
      </c>
      <c r="Q15" t="s">
        <v>8</v>
      </c>
      <c r="R15">
        <v>141</v>
      </c>
      <c r="S15">
        <v>0</v>
      </c>
    </row>
    <row r="16" spans="6:19" x14ac:dyDescent="0.6">
      <c r="F16" t="s">
        <v>93</v>
      </c>
      <c r="G16" s="1" t="s">
        <v>9</v>
      </c>
      <c r="H16" s="1">
        <v>167</v>
      </c>
      <c r="I16" s="1">
        <f t="shared" si="2"/>
        <v>0</v>
      </c>
      <c r="J16" s="1">
        <f t="shared" si="3"/>
        <v>167</v>
      </c>
      <c r="K16" s="1">
        <f t="shared" si="0"/>
        <v>0</v>
      </c>
      <c r="L16" s="1">
        <f t="shared" si="4"/>
        <v>167</v>
      </c>
      <c r="M16" s="1">
        <f t="shared" si="1"/>
        <v>0</v>
      </c>
      <c r="Q16" t="s">
        <v>9</v>
      </c>
      <c r="R16">
        <v>127</v>
      </c>
      <c r="S16">
        <v>0</v>
      </c>
    </row>
    <row r="17" spans="6:19" x14ac:dyDescent="0.6">
      <c r="F17" t="s">
        <v>94</v>
      </c>
      <c r="G17" s="1" t="s">
        <v>10</v>
      </c>
      <c r="H17" s="1">
        <v>110</v>
      </c>
      <c r="I17" s="1">
        <f t="shared" si="2"/>
        <v>0</v>
      </c>
      <c r="J17" s="1">
        <f t="shared" si="3"/>
        <v>110</v>
      </c>
      <c r="K17" s="1">
        <f t="shared" si="0"/>
        <v>0</v>
      </c>
      <c r="L17" s="1">
        <f t="shared" si="4"/>
        <v>110</v>
      </c>
      <c r="M17" s="1">
        <f t="shared" si="1"/>
        <v>0</v>
      </c>
      <c r="Q17" t="s">
        <v>10</v>
      </c>
      <c r="R17">
        <v>76</v>
      </c>
      <c r="S17">
        <v>0</v>
      </c>
    </row>
    <row r="18" spans="6:19" x14ac:dyDescent="0.6">
      <c r="F18" t="s">
        <v>95</v>
      </c>
      <c r="G18" s="1" t="s">
        <v>11</v>
      </c>
      <c r="H18" s="1">
        <v>106</v>
      </c>
      <c r="I18" s="1">
        <f t="shared" si="2"/>
        <v>0</v>
      </c>
      <c r="J18" s="1">
        <f t="shared" si="3"/>
        <v>106</v>
      </c>
      <c r="K18" s="1">
        <f t="shared" si="0"/>
        <v>0</v>
      </c>
      <c r="L18" s="1">
        <f t="shared" si="4"/>
        <v>106</v>
      </c>
      <c r="M18" s="1">
        <f t="shared" si="1"/>
        <v>0</v>
      </c>
      <c r="Q18" t="s">
        <v>11</v>
      </c>
      <c r="R18">
        <v>77</v>
      </c>
      <c r="S18">
        <v>0</v>
      </c>
    </row>
    <row r="19" spans="6:19" x14ac:dyDescent="0.6">
      <c r="F19" t="s">
        <v>96</v>
      </c>
      <c r="G19" s="1" t="s">
        <v>12</v>
      </c>
      <c r="H19" s="1">
        <v>2</v>
      </c>
      <c r="I19" s="1">
        <f t="shared" si="2"/>
        <v>18292</v>
      </c>
      <c r="J19" s="1">
        <f t="shared" si="3"/>
        <v>2</v>
      </c>
      <c r="K19" s="1">
        <f t="shared" si="0"/>
        <v>18290</v>
      </c>
      <c r="L19" s="1">
        <f t="shared" si="4"/>
        <v>2</v>
      </c>
      <c r="M19" s="1">
        <f t="shared" si="1"/>
        <v>18280</v>
      </c>
      <c r="Q19" t="s">
        <v>12</v>
      </c>
      <c r="R19">
        <v>2</v>
      </c>
      <c r="S19">
        <v>3630</v>
      </c>
    </row>
    <row r="20" spans="6:19" x14ac:dyDescent="0.6">
      <c r="F20" t="s">
        <v>97</v>
      </c>
      <c r="G20" s="1" t="s">
        <v>13</v>
      </c>
      <c r="H20" s="1">
        <v>2</v>
      </c>
      <c r="I20" s="1">
        <f t="shared" si="2"/>
        <v>16189</v>
      </c>
      <c r="J20" s="1">
        <f t="shared" si="3"/>
        <v>2</v>
      </c>
      <c r="K20" s="1">
        <f t="shared" si="0"/>
        <v>16188</v>
      </c>
      <c r="L20" s="1">
        <f t="shared" si="4"/>
        <v>2</v>
      </c>
      <c r="M20" s="1">
        <f t="shared" si="1"/>
        <v>16183</v>
      </c>
      <c r="Q20" t="s">
        <v>13</v>
      </c>
      <c r="R20">
        <v>2</v>
      </c>
      <c r="S20">
        <v>3151</v>
      </c>
    </row>
    <row r="21" spans="6:19" x14ac:dyDescent="0.6">
      <c r="F21" t="s">
        <v>98</v>
      </c>
      <c r="G21" s="1" t="s">
        <v>14</v>
      </c>
      <c r="H21" s="1">
        <v>2</v>
      </c>
      <c r="I21" s="1">
        <f t="shared" si="2"/>
        <v>16189</v>
      </c>
      <c r="J21" s="1">
        <f t="shared" si="3"/>
        <v>2</v>
      </c>
      <c r="K21" s="1">
        <f t="shared" si="0"/>
        <v>16188</v>
      </c>
      <c r="L21" s="1">
        <f t="shared" si="4"/>
        <v>2</v>
      </c>
      <c r="M21" s="1">
        <f t="shared" si="1"/>
        <v>16183</v>
      </c>
      <c r="Q21" t="s">
        <v>14</v>
      </c>
      <c r="R21">
        <v>2</v>
      </c>
      <c r="S21">
        <v>3151</v>
      </c>
    </row>
    <row r="22" spans="6:19" x14ac:dyDescent="0.6">
      <c r="F22" t="s">
        <v>139</v>
      </c>
      <c r="G22" s="1" t="s">
        <v>80</v>
      </c>
      <c r="H22" s="1">
        <v>1</v>
      </c>
      <c r="I22" s="1">
        <f t="shared" si="2"/>
        <v>15972</v>
      </c>
      <c r="J22" s="1">
        <f t="shared" si="3"/>
        <v>1</v>
      </c>
      <c r="K22" s="1">
        <f t="shared" si="0"/>
        <v>15971</v>
      </c>
      <c r="L22" s="1">
        <f t="shared" si="4"/>
        <v>1</v>
      </c>
      <c r="M22" s="1">
        <f t="shared" si="1"/>
        <v>15966</v>
      </c>
      <c r="Q22" t="s">
        <v>80</v>
      </c>
      <c r="R22">
        <v>1</v>
      </c>
      <c r="S22">
        <v>3093</v>
      </c>
    </row>
    <row r="23" spans="6:19" x14ac:dyDescent="0.6">
      <c r="F23" t="s">
        <v>99</v>
      </c>
      <c r="G23" s="1" t="s">
        <v>15</v>
      </c>
      <c r="H23" s="1">
        <v>2</v>
      </c>
      <c r="I23" s="1">
        <f t="shared" si="2"/>
        <v>15246</v>
      </c>
      <c r="J23" s="1">
        <f t="shared" si="3"/>
        <v>2</v>
      </c>
      <c r="K23" s="1">
        <f t="shared" si="0"/>
        <v>15245</v>
      </c>
      <c r="L23" s="1">
        <f t="shared" si="4"/>
        <v>2</v>
      </c>
      <c r="M23" s="1">
        <f t="shared" si="1"/>
        <v>15238</v>
      </c>
      <c r="Q23" t="s">
        <v>15</v>
      </c>
      <c r="R23">
        <v>2</v>
      </c>
      <c r="S23">
        <v>2904</v>
      </c>
    </row>
    <row r="24" spans="6:19" x14ac:dyDescent="0.6">
      <c r="F24" t="s">
        <v>68</v>
      </c>
      <c r="G24" s="1" t="s">
        <v>16</v>
      </c>
      <c r="H24" s="1">
        <v>2</v>
      </c>
      <c r="I24" s="1">
        <f t="shared" si="2"/>
        <v>11067</v>
      </c>
      <c r="J24" s="1">
        <f t="shared" si="3"/>
        <v>2</v>
      </c>
      <c r="K24" s="1">
        <f t="shared" si="0"/>
        <v>11067</v>
      </c>
      <c r="L24" s="1">
        <f t="shared" si="4"/>
        <v>2</v>
      </c>
      <c r="M24" s="1">
        <f t="shared" si="1"/>
        <v>11067</v>
      </c>
      <c r="Q24" t="s">
        <v>16</v>
      </c>
      <c r="R24">
        <v>2</v>
      </c>
      <c r="S24">
        <v>2040</v>
      </c>
    </row>
    <row r="25" spans="6:19" x14ac:dyDescent="0.6">
      <c r="F25" t="s">
        <v>69</v>
      </c>
      <c r="G25" s="1" t="s">
        <v>17</v>
      </c>
      <c r="H25" s="1">
        <v>2</v>
      </c>
      <c r="I25" s="1">
        <f t="shared" si="2"/>
        <v>8136</v>
      </c>
      <c r="J25" s="1">
        <f t="shared" si="3"/>
        <v>2</v>
      </c>
      <c r="K25" s="1">
        <f t="shared" si="0"/>
        <v>8136</v>
      </c>
      <c r="L25" s="1">
        <f t="shared" si="4"/>
        <v>2</v>
      </c>
      <c r="M25" s="1">
        <f t="shared" si="1"/>
        <v>8136</v>
      </c>
      <c r="Q25" t="s">
        <v>17</v>
      </c>
      <c r="R25">
        <v>2</v>
      </c>
      <c r="S25">
        <v>1467</v>
      </c>
    </row>
    <row r="26" spans="6:19" x14ac:dyDescent="0.6">
      <c r="F26" t="s">
        <v>70</v>
      </c>
      <c r="G26" s="1" t="s">
        <v>18</v>
      </c>
      <c r="H26" s="1">
        <v>2</v>
      </c>
      <c r="I26" s="1">
        <f t="shared" si="2"/>
        <v>3424</v>
      </c>
      <c r="J26" s="1">
        <f t="shared" si="3"/>
        <v>2</v>
      </c>
      <c r="K26" s="1">
        <f t="shared" si="0"/>
        <v>3424</v>
      </c>
      <c r="L26" s="1">
        <f t="shared" si="4"/>
        <v>2</v>
      </c>
      <c r="M26" s="1">
        <f t="shared" si="1"/>
        <v>3424</v>
      </c>
      <c r="Q26" t="s">
        <v>18</v>
      </c>
      <c r="R26">
        <v>2</v>
      </c>
      <c r="S26">
        <v>637</v>
      </c>
    </row>
    <row r="28" spans="6:19" x14ac:dyDescent="0.6">
      <c r="F28" t="s">
        <v>100</v>
      </c>
      <c r="G28" t="s">
        <v>0</v>
      </c>
      <c r="H28">
        <v>0</v>
      </c>
    </row>
    <row r="29" spans="6:19" x14ac:dyDescent="0.6">
      <c r="F29" t="s">
        <v>71</v>
      </c>
      <c r="G29" t="s">
        <v>1</v>
      </c>
      <c r="H29">
        <v>0</v>
      </c>
    </row>
    <row r="30" spans="6:19" x14ac:dyDescent="0.6">
      <c r="F30" t="s">
        <v>101</v>
      </c>
      <c r="G30" t="s">
        <v>2</v>
      </c>
      <c r="H30">
        <v>0</v>
      </c>
    </row>
    <row r="31" spans="6:19" x14ac:dyDescent="0.6">
      <c r="F31" t="s">
        <v>72</v>
      </c>
      <c r="G31" t="s">
        <v>3</v>
      </c>
      <c r="H31">
        <v>0</v>
      </c>
    </row>
    <row r="32" spans="6:19" x14ac:dyDescent="0.6">
      <c r="F32" t="s">
        <v>102</v>
      </c>
      <c r="G32" t="s">
        <v>4</v>
      </c>
      <c r="H32">
        <v>57014</v>
      </c>
    </row>
    <row r="33" spans="6:8" x14ac:dyDescent="0.6">
      <c r="F33" t="s">
        <v>103</v>
      </c>
      <c r="G33" t="s">
        <v>5</v>
      </c>
      <c r="H33">
        <v>57031</v>
      </c>
    </row>
    <row r="34" spans="6:8" x14ac:dyDescent="0.6">
      <c r="F34" t="s">
        <v>104</v>
      </c>
      <c r="G34" t="s">
        <v>6</v>
      </c>
      <c r="H34">
        <v>0</v>
      </c>
    </row>
    <row r="35" spans="6:8" x14ac:dyDescent="0.6">
      <c r="F35" t="s">
        <v>105</v>
      </c>
      <c r="G35" t="s">
        <v>7</v>
      </c>
      <c r="H35">
        <v>0</v>
      </c>
    </row>
    <row r="36" spans="6:8" x14ac:dyDescent="0.6">
      <c r="F36" t="s">
        <v>106</v>
      </c>
      <c r="G36" t="s">
        <v>8</v>
      </c>
      <c r="H36">
        <v>0</v>
      </c>
    </row>
    <row r="37" spans="6:8" x14ac:dyDescent="0.6">
      <c r="F37" t="s">
        <v>107</v>
      </c>
      <c r="G37" t="s">
        <v>9</v>
      </c>
      <c r="H37">
        <v>0</v>
      </c>
    </row>
    <row r="38" spans="6:8" x14ac:dyDescent="0.6">
      <c r="F38" t="s">
        <v>108</v>
      </c>
      <c r="G38" t="s">
        <v>10</v>
      </c>
      <c r="H38">
        <v>0</v>
      </c>
    </row>
    <row r="39" spans="6:8" x14ac:dyDescent="0.6">
      <c r="F39" t="s">
        <v>109</v>
      </c>
      <c r="G39" t="s">
        <v>11</v>
      </c>
      <c r="H39">
        <v>0</v>
      </c>
    </row>
    <row r="40" spans="6:8" x14ac:dyDescent="0.6">
      <c r="F40" t="s">
        <v>110</v>
      </c>
      <c r="G40" t="s">
        <v>12</v>
      </c>
      <c r="H40">
        <v>18292</v>
      </c>
    </row>
    <row r="41" spans="6:8" x14ac:dyDescent="0.6">
      <c r="F41" t="s">
        <v>111</v>
      </c>
      <c r="G41" t="s">
        <v>13</v>
      </c>
      <c r="H41">
        <v>16189</v>
      </c>
    </row>
    <row r="42" spans="6:8" x14ac:dyDescent="0.6">
      <c r="F42" t="s">
        <v>112</v>
      </c>
      <c r="G42" t="s">
        <v>14</v>
      </c>
      <c r="H42">
        <v>16189</v>
      </c>
    </row>
    <row r="43" spans="6:8" x14ac:dyDescent="0.6">
      <c r="F43" t="s">
        <v>140</v>
      </c>
      <c r="G43" t="s">
        <v>80</v>
      </c>
      <c r="H43">
        <v>15972</v>
      </c>
    </row>
    <row r="44" spans="6:8" x14ac:dyDescent="0.6">
      <c r="F44" t="s">
        <v>113</v>
      </c>
      <c r="G44" t="s">
        <v>15</v>
      </c>
      <c r="H44">
        <v>15246</v>
      </c>
    </row>
    <row r="45" spans="6:8" x14ac:dyDescent="0.6">
      <c r="F45" t="s">
        <v>114</v>
      </c>
      <c r="G45" t="s">
        <v>16</v>
      </c>
      <c r="H45">
        <v>11067</v>
      </c>
    </row>
    <row r="46" spans="6:8" x14ac:dyDescent="0.6">
      <c r="F46" t="s">
        <v>115</v>
      </c>
      <c r="G46" t="s">
        <v>17</v>
      </c>
      <c r="H46">
        <v>8136</v>
      </c>
    </row>
    <row r="47" spans="6:8" x14ac:dyDescent="0.6">
      <c r="F47" t="s">
        <v>116</v>
      </c>
      <c r="G47" t="s">
        <v>18</v>
      </c>
      <c r="H47">
        <v>3424</v>
      </c>
    </row>
    <row r="50" spans="6:9" x14ac:dyDescent="0.6">
      <c r="F50" t="s">
        <v>117</v>
      </c>
    </row>
    <row r="51" spans="6:9" x14ac:dyDescent="0.6">
      <c r="F51" t="s">
        <v>118</v>
      </c>
    </row>
    <row r="52" spans="6:9" x14ac:dyDescent="0.6">
      <c r="F52" t="s">
        <v>84</v>
      </c>
      <c r="G52" t="s">
        <v>0</v>
      </c>
      <c r="H52">
        <v>10046</v>
      </c>
      <c r="I52">
        <f>H73</f>
        <v>0</v>
      </c>
    </row>
    <row r="53" spans="6:9" x14ac:dyDescent="0.6">
      <c r="F53" t="s">
        <v>85</v>
      </c>
      <c r="G53" t="s">
        <v>1</v>
      </c>
      <c r="H53">
        <v>10046</v>
      </c>
      <c r="I53">
        <f t="shared" ref="I53:I71" si="5">H74</f>
        <v>0</v>
      </c>
    </row>
    <row r="54" spans="6:9" x14ac:dyDescent="0.6">
      <c r="F54" t="s">
        <v>119</v>
      </c>
      <c r="G54" t="s">
        <v>2</v>
      </c>
      <c r="H54">
        <v>29080</v>
      </c>
      <c r="I54">
        <f t="shared" si="5"/>
        <v>0</v>
      </c>
    </row>
    <row r="55" spans="6:9" x14ac:dyDescent="0.6">
      <c r="F55" t="s">
        <v>120</v>
      </c>
      <c r="G55" t="s">
        <v>3</v>
      </c>
      <c r="H55">
        <v>57031</v>
      </c>
      <c r="I55">
        <f t="shared" si="5"/>
        <v>0</v>
      </c>
    </row>
    <row r="56" spans="6:9" x14ac:dyDescent="0.6">
      <c r="F56" t="s">
        <v>88</v>
      </c>
      <c r="G56" t="s">
        <v>4</v>
      </c>
      <c r="H56">
        <v>2</v>
      </c>
      <c r="I56">
        <f t="shared" si="5"/>
        <v>57014</v>
      </c>
    </row>
    <row r="57" spans="6:9" x14ac:dyDescent="0.6">
      <c r="F57" t="s">
        <v>121</v>
      </c>
      <c r="G57" t="s">
        <v>5</v>
      </c>
      <c r="H57">
        <v>1</v>
      </c>
      <c r="I57">
        <f t="shared" si="5"/>
        <v>57031</v>
      </c>
    </row>
    <row r="58" spans="6:9" x14ac:dyDescent="0.6">
      <c r="F58" t="s">
        <v>90</v>
      </c>
      <c r="G58" t="s">
        <v>6</v>
      </c>
      <c r="H58">
        <v>3237</v>
      </c>
      <c r="I58">
        <f t="shared" si="5"/>
        <v>0</v>
      </c>
    </row>
    <row r="59" spans="6:9" x14ac:dyDescent="0.6">
      <c r="F59" t="s">
        <v>91</v>
      </c>
      <c r="G59" t="s">
        <v>7</v>
      </c>
      <c r="H59">
        <v>171</v>
      </c>
      <c r="I59">
        <f t="shared" si="5"/>
        <v>0</v>
      </c>
    </row>
    <row r="60" spans="6:9" x14ac:dyDescent="0.6">
      <c r="F60" t="s">
        <v>92</v>
      </c>
      <c r="G60" t="s">
        <v>8</v>
      </c>
      <c r="H60">
        <v>167</v>
      </c>
      <c r="I60">
        <f t="shared" si="5"/>
        <v>0</v>
      </c>
    </row>
    <row r="61" spans="6:9" x14ac:dyDescent="0.6">
      <c r="F61" t="s">
        <v>93</v>
      </c>
      <c r="G61" t="s">
        <v>9</v>
      </c>
      <c r="H61">
        <v>167</v>
      </c>
      <c r="I61">
        <f t="shared" si="5"/>
        <v>0</v>
      </c>
    </row>
    <row r="62" spans="6:9" x14ac:dyDescent="0.6">
      <c r="F62" t="s">
        <v>94</v>
      </c>
      <c r="G62" t="s">
        <v>10</v>
      </c>
      <c r="H62">
        <v>110</v>
      </c>
      <c r="I62">
        <f t="shared" si="5"/>
        <v>0</v>
      </c>
    </row>
    <row r="63" spans="6:9" x14ac:dyDescent="0.6">
      <c r="F63" t="s">
        <v>95</v>
      </c>
      <c r="G63" t="s">
        <v>11</v>
      </c>
      <c r="H63">
        <v>106</v>
      </c>
      <c r="I63">
        <f t="shared" si="5"/>
        <v>0</v>
      </c>
    </row>
    <row r="64" spans="6:9" x14ac:dyDescent="0.6">
      <c r="F64" t="s">
        <v>96</v>
      </c>
      <c r="G64" t="s">
        <v>12</v>
      </c>
      <c r="H64">
        <v>2</v>
      </c>
      <c r="I64">
        <f t="shared" si="5"/>
        <v>18290</v>
      </c>
    </row>
    <row r="65" spans="6:9" x14ac:dyDescent="0.6">
      <c r="F65" t="s">
        <v>97</v>
      </c>
      <c r="G65" t="s">
        <v>13</v>
      </c>
      <c r="H65">
        <v>2</v>
      </c>
      <c r="I65">
        <f t="shared" si="5"/>
        <v>16188</v>
      </c>
    </row>
    <row r="66" spans="6:9" x14ac:dyDescent="0.6">
      <c r="F66" t="s">
        <v>98</v>
      </c>
      <c r="G66" t="s">
        <v>14</v>
      </c>
      <c r="H66">
        <v>2</v>
      </c>
      <c r="I66">
        <f t="shared" si="5"/>
        <v>16188</v>
      </c>
    </row>
    <row r="67" spans="6:9" x14ac:dyDescent="0.6">
      <c r="F67" t="s">
        <v>139</v>
      </c>
      <c r="G67" t="s">
        <v>80</v>
      </c>
      <c r="H67">
        <v>1</v>
      </c>
      <c r="I67">
        <f t="shared" si="5"/>
        <v>15971</v>
      </c>
    </row>
    <row r="68" spans="6:9" x14ac:dyDescent="0.6">
      <c r="F68" t="s">
        <v>99</v>
      </c>
      <c r="G68" t="s">
        <v>15</v>
      </c>
      <c r="H68">
        <v>2</v>
      </c>
      <c r="I68">
        <f t="shared" si="5"/>
        <v>15245</v>
      </c>
    </row>
    <row r="69" spans="6:9" x14ac:dyDescent="0.6">
      <c r="F69" t="s">
        <v>68</v>
      </c>
      <c r="G69" t="s">
        <v>16</v>
      </c>
      <c r="H69">
        <v>2</v>
      </c>
      <c r="I69">
        <f t="shared" si="5"/>
        <v>11067</v>
      </c>
    </row>
    <row r="70" spans="6:9" x14ac:dyDescent="0.6">
      <c r="F70" t="s">
        <v>69</v>
      </c>
      <c r="G70" t="s">
        <v>17</v>
      </c>
      <c r="H70">
        <v>2</v>
      </c>
      <c r="I70">
        <f t="shared" si="5"/>
        <v>8136</v>
      </c>
    </row>
    <row r="71" spans="6:9" x14ac:dyDescent="0.6">
      <c r="F71" t="s">
        <v>70</v>
      </c>
      <c r="G71" t="s">
        <v>18</v>
      </c>
      <c r="H71">
        <v>2</v>
      </c>
      <c r="I71">
        <f t="shared" si="5"/>
        <v>3424</v>
      </c>
    </row>
    <row r="73" spans="6:9" x14ac:dyDescent="0.6">
      <c r="F73" t="s">
        <v>100</v>
      </c>
      <c r="G73" t="s">
        <v>0</v>
      </c>
      <c r="H73">
        <v>0</v>
      </c>
    </row>
    <row r="74" spans="6:9" x14ac:dyDescent="0.6">
      <c r="F74" t="s">
        <v>71</v>
      </c>
      <c r="G74" t="s">
        <v>1</v>
      </c>
      <c r="H74">
        <v>0</v>
      </c>
    </row>
    <row r="75" spans="6:9" x14ac:dyDescent="0.6">
      <c r="F75" t="s">
        <v>101</v>
      </c>
      <c r="G75" t="s">
        <v>2</v>
      </c>
      <c r="H75">
        <v>0</v>
      </c>
    </row>
    <row r="76" spans="6:9" x14ac:dyDescent="0.6">
      <c r="F76" t="s">
        <v>72</v>
      </c>
      <c r="G76" t="s">
        <v>3</v>
      </c>
      <c r="H76">
        <v>0</v>
      </c>
    </row>
    <row r="77" spans="6:9" x14ac:dyDescent="0.6">
      <c r="F77" t="s">
        <v>102</v>
      </c>
      <c r="G77" t="s">
        <v>4</v>
      </c>
      <c r="H77">
        <v>57014</v>
      </c>
    </row>
    <row r="78" spans="6:9" x14ac:dyDescent="0.6">
      <c r="F78" t="s">
        <v>103</v>
      </c>
      <c r="G78" t="s">
        <v>5</v>
      </c>
      <c r="H78">
        <v>57031</v>
      </c>
    </row>
    <row r="79" spans="6:9" x14ac:dyDescent="0.6">
      <c r="F79" t="s">
        <v>104</v>
      </c>
      <c r="G79" t="s">
        <v>6</v>
      </c>
      <c r="H79">
        <v>0</v>
      </c>
    </row>
    <row r="80" spans="6:9" x14ac:dyDescent="0.6">
      <c r="F80" t="s">
        <v>105</v>
      </c>
      <c r="G80" t="s">
        <v>7</v>
      </c>
      <c r="H80">
        <v>0</v>
      </c>
    </row>
    <row r="81" spans="6:8" x14ac:dyDescent="0.6">
      <c r="F81" t="s">
        <v>106</v>
      </c>
      <c r="G81" t="s">
        <v>8</v>
      </c>
      <c r="H81">
        <v>0</v>
      </c>
    </row>
    <row r="82" spans="6:8" x14ac:dyDescent="0.6">
      <c r="F82" t="s">
        <v>107</v>
      </c>
      <c r="G82" t="s">
        <v>9</v>
      </c>
      <c r="H82">
        <v>0</v>
      </c>
    </row>
    <row r="83" spans="6:8" x14ac:dyDescent="0.6">
      <c r="F83" t="s">
        <v>108</v>
      </c>
      <c r="G83" t="s">
        <v>10</v>
      </c>
      <c r="H83">
        <v>0</v>
      </c>
    </row>
    <row r="84" spans="6:8" x14ac:dyDescent="0.6">
      <c r="F84" t="s">
        <v>109</v>
      </c>
      <c r="G84" t="s">
        <v>11</v>
      </c>
      <c r="H84">
        <v>0</v>
      </c>
    </row>
    <row r="85" spans="6:8" x14ac:dyDescent="0.6">
      <c r="F85" t="s">
        <v>122</v>
      </c>
      <c r="G85" t="s">
        <v>12</v>
      </c>
      <c r="H85">
        <v>18290</v>
      </c>
    </row>
    <row r="86" spans="6:8" x14ac:dyDescent="0.6">
      <c r="F86" t="s">
        <v>123</v>
      </c>
      <c r="G86" t="s">
        <v>13</v>
      </c>
      <c r="H86">
        <v>16188</v>
      </c>
    </row>
    <row r="87" spans="6:8" x14ac:dyDescent="0.6">
      <c r="F87" t="s">
        <v>124</v>
      </c>
      <c r="G87" t="s">
        <v>14</v>
      </c>
      <c r="H87">
        <v>16188</v>
      </c>
    </row>
    <row r="88" spans="6:8" x14ac:dyDescent="0.6">
      <c r="F88" t="s">
        <v>141</v>
      </c>
      <c r="G88" t="s">
        <v>80</v>
      </c>
      <c r="H88">
        <v>15971</v>
      </c>
    </row>
    <row r="89" spans="6:8" x14ac:dyDescent="0.6">
      <c r="F89" t="s">
        <v>125</v>
      </c>
      <c r="G89" t="s">
        <v>15</v>
      </c>
      <c r="H89">
        <v>15245</v>
      </c>
    </row>
    <row r="90" spans="6:8" x14ac:dyDescent="0.6">
      <c r="F90" t="s">
        <v>114</v>
      </c>
      <c r="G90" t="s">
        <v>16</v>
      </c>
      <c r="H90">
        <v>11067</v>
      </c>
    </row>
    <row r="91" spans="6:8" x14ac:dyDescent="0.6">
      <c r="F91" t="s">
        <v>115</v>
      </c>
      <c r="G91" t="s">
        <v>17</v>
      </c>
      <c r="H91">
        <v>8136</v>
      </c>
    </row>
    <row r="92" spans="6:8" x14ac:dyDescent="0.6">
      <c r="F92" t="s">
        <v>116</v>
      </c>
      <c r="G92" t="s">
        <v>18</v>
      </c>
      <c r="H92">
        <v>3424</v>
      </c>
    </row>
    <row r="95" spans="6:8" x14ac:dyDescent="0.6">
      <c r="F95" t="s">
        <v>126</v>
      </c>
    </row>
    <row r="96" spans="6:8" x14ac:dyDescent="0.6">
      <c r="F96" t="s">
        <v>127</v>
      </c>
    </row>
    <row r="97" spans="6:9" x14ac:dyDescent="0.6">
      <c r="F97" t="s">
        <v>128</v>
      </c>
      <c r="G97" t="s">
        <v>0</v>
      </c>
      <c r="H97">
        <v>10042</v>
      </c>
      <c r="I97">
        <f>H118</f>
        <v>0</v>
      </c>
    </row>
    <row r="98" spans="6:9" x14ac:dyDescent="0.6">
      <c r="F98" t="s">
        <v>129</v>
      </c>
      <c r="G98" t="s">
        <v>1</v>
      </c>
      <c r="H98">
        <v>10042</v>
      </c>
      <c r="I98">
        <f t="shared" ref="I98:I116" si="6">H119</f>
        <v>0</v>
      </c>
    </row>
    <row r="99" spans="6:9" x14ac:dyDescent="0.6">
      <c r="F99" t="s">
        <v>130</v>
      </c>
      <c r="G99" t="s">
        <v>2</v>
      </c>
      <c r="H99">
        <v>29066</v>
      </c>
      <c r="I99">
        <f t="shared" si="6"/>
        <v>0</v>
      </c>
    </row>
    <row r="100" spans="6:9" x14ac:dyDescent="0.6">
      <c r="F100" t="s">
        <v>131</v>
      </c>
      <c r="G100" t="s">
        <v>3</v>
      </c>
      <c r="H100">
        <v>57014</v>
      </c>
      <c r="I100">
        <f t="shared" si="6"/>
        <v>0</v>
      </c>
    </row>
    <row r="101" spans="6:9" x14ac:dyDescent="0.6">
      <c r="F101" t="s">
        <v>132</v>
      </c>
      <c r="G101" t="s">
        <v>4</v>
      </c>
      <c r="H101">
        <v>1</v>
      </c>
      <c r="I101">
        <f t="shared" si="6"/>
        <v>57014</v>
      </c>
    </row>
    <row r="102" spans="6:9" x14ac:dyDescent="0.6">
      <c r="F102" t="s">
        <v>121</v>
      </c>
      <c r="G102" t="s">
        <v>5</v>
      </c>
      <c r="H102">
        <v>1</v>
      </c>
      <c r="I102">
        <f t="shared" si="6"/>
        <v>57014</v>
      </c>
    </row>
    <row r="103" spans="6:9" x14ac:dyDescent="0.6">
      <c r="F103" t="s">
        <v>90</v>
      </c>
      <c r="G103" t="s">
        <v>6</v>
      </c>
      <c r="H103">
        <v>3237</v>
      </c>
      <c r="I103">
        <f t="shared" si="6"/>
        <v>0</v>
      </c>
    </row>
    <row r="104" spans="6:9" x14ac:dyDescent="0.6">
      <c r="F104" t="s">
        <v>91</v>
      </c>
      <c r="G104" t="s">
        <v>7</v>
      </c>
      <c r="H104">
        <v>171</v>
      </c>
      <c r="I104">
        <f t="shared" si="6"/>
        <v>0</v>
      </c>
    </row>
    <row r="105" spans="6:9" x14ac:dyDescent="0.6">
      <c r="F105" t="s">
        <v>92</v>
      </c>
      <c r="G105" t="s">
        <v>8</v>
      </c>
      <c r="H105">
        <v>167</v>
      </c>
      <c r="I105">
        <f t="shared" si="6"/>
        <v>0</v>
      </c>
    </row>
    <row r="106" spans="6:9" x14ac:dyDescent="0.6">
      <c r="F106" t="s">
        <v>93</v>
      </c>
      <c r="G106" t="s">
        <v>9</v>
      </c>
      <c r="H106">
        <v>167</v>
      </c>
      <c r="I106">
        <f t="shared" si="6"/>
        <v>0</v>
      </c>
    </row>
    <row r="107" spans="6:9" x14ac:dyDescent="0.6">
      <c r="F107" t="s">
        <v>94</v>
      </c>
      <c r="G107" t="s">
        <v>10</v>
      </c>
      <c r="H107">
        <v>110</v>
      </c>
      <c r="I107">
        <f t="shared" si="6"/>
        <v>0</v>
      </c>
    </row>
    <row r="108" spans="6:9" x14ac:dyDescent="0.6">
      <c r="F108" t="s">
        <v>95</v>
      </c>
      <c r="G108" t="s">
        <v>11</v>
      </c>
      <c r="H108">
        <v>106</v>
      </c>
      <c r="I108">
        <f t="shared" si="6"/>
        <v>0</v>
      </c>
    </row>
    <row r="109" spans="6:9" x14ac:dyDescent="0.6">
      <c r="F109" t="s">
        <v>96</v>
      </c>
      <c r="G109" t="s">
        <v>12</v>
      </c>
      <c r="H109">
        <v>2</v>
      </c>
      <c r="I109">
        <f t="shared" si="6"/>
        <v>18280</v>
      </c>
    </row>
    <row r="110" spans="6:9" x14ac:dyDescent="0.6">
      <c r="F110" t="s">
        <v>97</v>
      </c>
      <c r="G110" t="s">
        <v>13</v>
      </c>
      <c r="H110">
        <v>2</v>
      </c>
      <c r="I110">
        <f t="shared" si="6"/>
        <v>16183</v>
      </c>
    </row>
    <row r="111" spans="6:9" x14ac:dyDescent="0.6">
      <c r="F111" t="s">
        <v>98</v>
      </c>
      <c r="G111" t="s">
        <v>14</v>
      </c>
      <c r="H111">
        <v>2</v>
      </c>
      <c r="I111">
        <f t="shared" si="6"/>
        <v>16183</v>
      </c>
    </row>
    <row r="112" spans="6:9" x14ac:dyDescent="0.6">
      <c r="F112" t="s">
        <v>139</v>
      </c>
      <c r="G112" t="s">
        <v>80</v>
      </c>
      <c r="H112">
        <v>1</v>
      </c>
      <c r="I112">
        <f t="shared" si="6"/>
        <v>15966</v>
      </c>
    </row>
    <row r="113" spans="6:9" x14ac:dyDescent="0.6">
      <c r="F113" t="s">
        <v>99</v>
      </c>
      <c r="G113" t="s">
        <v>15</v>
      </c>
      <c r="H113">
        <v>2</v>
      </c>
      <c r="I113">
        <f t="shared" si="6"/>
        <v>15238</v>
      </c>
    </row>
    <row r="114" spans="6:9" x14ac:dyDescent="0.6">
      <c r="F114" t="s">
        <v>68</v>
      </c>
      <c r="G114" t="s">
        <v>16</v>
      </c>
      <c r="H114">
        <v>2</v>
      </c>
      <c r="I114">
        <f t="shared" si="6"/>
        <v>11067</v>
      </c>
    </row>
    <row r="115" spans="6:9" x14ac:dyDescent="0.6">
      <c r="F115" t="s">
        <v>69</v>
      </c>
      <c r="G115" t="s">
        <v>17</v>
      </c>
      <c r="H115">
        <v>2</v>
      </c>
      <c r="I115">
        <f t="shared" si="6"/>
        <v>8136</v>
      </c>
    </row>
    <row r="116" spans="6:9" x14ac:dyDescent="0.6">
      <c r="F116" t="s">
        <v>70</v>
      </c>
      <c r="G116" t="s">
        <v>18</v>
      </c>
      <c r="H116">
        <v>2</v>
      </c>
      <c r="I116">
        <f t="shared" si="6"/>
        <v>3424</v>
      </c>
    </row>
    <row r="118" spans="6:9" x14ac:dyDescent="0.6">
      <c r="F118" t="s">
        <v>100</v>
      </c>
      <c r="G118" t="s">
        <v>0</v>
      </c>
      <c r="H118">
        <v>0</v>
      </c>
    </row>
    <row r="119" spans="6:9" x14ac:dyDescent="0.6">
      <c r="F119" t="s">
        <v>71</v>
      </c>
      <c r="G119" t="s">
        <v>1</v>
      </c>
      <c r="H119">
        <v>0</v>
      </c>
    </row>
    <row r="120" spans="6:9" x14ac:dyDescent="0.6">
      <c r="F120" t="s">
        <v>101</v>
      </c>
      <c r="G120" t="s">
        <v>2</v>
      </c>
      <c r="H120">
        <v>0</v>
      </c>
    </row>
    <row r="121" spans="6:9" x14ac:dyDescent="0.6">
      <c r="F121" t="s">
        <v>72</v>
      </c>
      <c r="G121" t="s">
        <v>3</v>
      </c>
      <c r="H121">
        <v>0</v>
      </c>
    </row>
    <row r="122" spans="6:9" x14ac:dyDescent="0.6">
      <c r="F122" t="s">
        <v>102</v>
      </c>
      <c r="G122" t="s">
        <v>4</v>
      </c>
      <c r="H122">
        <v>57014</v>
      </c>
    </row>
    <row r="123" spans="6:9" x14ac:dyDescent="0.6">
      <c r="F123" t="s">
        <v>133</v>
      </c>
      <c r="G123" t="s">
        <v>5</v>
      </c>
      <c r="H123">
        <v>57014</v>
      </c>
    </row>
    <row r="124" spans="6:9" x14ac:dyDescent="0.6">
      <c r="F124" t="s">
        <v>104</v>
      </c>
      <c r="G124" t="s">
        <v>6</v>
      </c>
      <c r="H124">
        <v>0</v>
      </c>
    </row>
    <row r="125" spans="6:9" x14ac:dyDescent="0.6">
      <c r="F125" t="s">
        <v>105</v>
      </c>
      <c r="G125" t="s">
        <v>7</v>
      </c>
      <c r="H125">
        <v>0</v>
      </c>
    </row>
    <row r="126" spans="6:9" x14ac:dyDescent="0.6">
      <c r="F126" t="s">
        <v>106</v>
      </c>
      <c r="G126" t="s">
        <v>8</v>
      </c>
      <c r="H126">
        <v>0</v>
      </c>
    </row>
    <row r="127" spans="6:9" x14ac:dyDescent="0.6">
      <c r="F127" t="s">
        <v>107</v>
      </c>
      <c r="G127" t="s">
        <v>9</v>
      </c>
      <c r="H127">
        <v>0</v>
      </c>
    </row>
    <row r="128" spans="6:9" x14ac:dyDescent="0.6">
      <c r="F128" t="s">
        <v>108</v>
      </c>
      <c r="G128" t="s">
        <v>10</v>
      </c>
      <c r="H128">
        <v>0</v>
      </c>
    </row>
    <row r="129" spans="6:8" x14ac:dyDescent="0.6">
      <c r="F129" t="s">
        <v>109</v>
      </c>
      <c r="G129" t="s">
        <v>11</v>
      </c>
      <c r="H129">
        <v>0</v>
      </c>
    </row>
    <row r="130" spans="6:8" x14ac:dyDescent="0.6">
      <c r="F130" t="s">
        <v>134</v>
      </c>
      <c r="G130" t="s">
        <v>12</v>
      </c>
      <c r="H130">
        <v>18280</v>
      </c>
    </row>
    <row r="131" spans="6:8" x14ac:dyDescent="0.6">
      <c r="F131" t="s">
        <v>135</v>
      </c>
      <c r="G131" t="s">
        <v>13</v>
      </c>
      <c r="H131">
        <v>16183</v>
      </c>
    </row>
    <row r="132" spans="6:8" x14ac:dyDescent="0.6">
      <c r="F132" t="s">
        <v>136</v>
      </c>
      <c r="G132" t="s">
        <v>14</v>
      </c>
      <c r="H132">
        <v>16183</v>
      </c>
    </row>
    <row r="133" spans="6:8" x14ac:dyDescent="0.6">
      <c r="F133" t="s">
        <v>142</v>
      </c>
      <c r="G133" t="s">
        <v>80</v>
      </c>
      <c r="H133">
        <v>15966</v>
      </c>
    </row>
    <row r="134" spans="6:8" x14ac:dyDescent="0.6">
      <c r="F134" t="s">
        <v>137</v>
      </c>
      <c r="G134" t="s">
        <v>15</v>
      </c>
      <c r="H134">
        <v>15238</v>
      </c>
    </row>
    <row r="135" spans="6:8" x14ac:dyDescent="0.6">
      <c r="F135" t="s">
        <v>114</v>
      </c>
      <c r="G135" t="s">
        <v>16</v>
      </c>
      <c r="H135">
        <v>11067</v>
      </c>
    </row>
    <row r="136" spans="6:8" x14ac:dyDescent="0.6">
      <c r="F136" t="s">
        <v>115</v>
      </c>
      <c r="G136" t="s">
        <v>17</v>
      </c>
      <c r="H136">
        <v>8136</v>
      </c>
    </row>
    <row r="137" spans="6:8" x14ac:dyDescent="0.6">
      <c r="F137" t="s">
        <v>116</v>
      </c>
      <c r="G137" t="s">
        <v>18</v>
      </c>
      <c r="H137">
        <v>3424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tematdb</vt:lpstr>
      <vt:lpstr>starrydata2 vs tematdb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cta4rbk@naver.com</cp:lastModifiedBy>
  <dcterms:created xsi:type="dcterms:W3CDTF">2025-05-12T18:25:18Z</dcterms:created>
  <dcterms:modified xsi:type="dcterms:W3CDTF">2025-05-13T14:31:28Z</dcterms:modified>
</cp:coreProperties>
</file>