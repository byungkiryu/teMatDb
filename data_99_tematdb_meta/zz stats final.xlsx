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/>
  <mc:AlternateContent xmlns:mc="http://schemas.openxmlformats.org/markup-compatibility/2006">
    <mc:Choice Requires="x15">
      <x15ac:absPath xmlns:x15ac="http://schemas.microsoft.com/office/spreadsheetml/2010/11/ac" url="Z:\gitgit\032 teMatDb1.1.6 to csv and filter  -- 20250513\data_99_tematdb_meta\"/>
    </mc:Choice>
  </mc:AlternateContent>
  <xr:revisionPtr revIDLastSave="0" documentId="13_ncr:1_{20574575-CB3A-49BE-8137-A61C2A64CB29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tematdb" sheetId="5" r:id="rId1"/>
    <sheet name="starrydata2 vs tematdb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6" i="4" l="1"/>
  <c r="G25" i="4"/>
  <c r="G24" i="4"/>
  <c r="K26" i="4" l="1"/>
  <c r="J26" i="4"/>
  <c r="I26" i="4"/>
  <c r="F26" i="4"/>
  <c r="K25" i="4"/>
  <c r="J25" i="4"/>
  <c r="I25" i="4"/>
  <c r="F25" i="4"/>
  <c r="K24" i="4"/>
  <c r="J24" i="4"/>
  <c r="I24" i="4"/>
  <c r="F24" i="4"/>
</calcChain>
</file>

<file path=xl/sharedStrings.xml><?xml version="1.0" encoding="utf-8"?>
<sst xmlns="http://schemas.openxmlformats.org/spreadsheetml/2006/main" count="81" uniqueCount="67">
  <si>
    <t>DOI</t>
  </si>
  <si>
    <t>composition</t>
  </si>
  <si>
    <t>sample_id</t>
  </si>
  <si>
    <t>is_SID_not_duplicated</t>
  </si>
  <si>
    <t>is_sample_id_not_duplicated</t>
  </si>
  <si>
    <t>pykeri_TEP_readable</t>
  </si>
  <si>
    <t>pykeri_TEPZT_readable</t>
  </si>
  <si>
    <t>classic_all_filters</t>
  </si>
  <si>
    <t>cri_product_def</t>
  </si>
  <si>
    <t>cri_product_1o2</t>
  </si>
  <si>
    <t>cri_product_1o5</t>
  </si>
  <si>
    <t>all data cases</t>
  </si>
  <si>
    <t>sample_id not duplicated</t>
    <phoneticPr fontId="2" type="noConversion"/>
  </si>
  <si>
    <t>SID not duplicated</t>
    <phoneticPr fontId="2" type="noConversion"/>
  </si>
  <si>
    <t>SID or DOI</t>
    <phoneticPr fontId="2" type="noConversion"/>
  </si>
  <si>
    <t>teMatDb v1.1.6</t>
    <phoneticPr fontId="2" type="noConversion"/>
  </si>
  <si>
    <t>ALL (distinguished samples)</t>
    <phoneticPr fontId="2" type="noConversion"/>
  </si>
  <si>
    <t>% of cri_product_def</t>
    <phoneticPr fontId="2" type="noConversion"/>
  </si>
  <si>
    <t>% of cri_product_1o2</t>
    <phoneticPr fontId="2" type="noConversion"/>
  </si>
  <si>
    <t>% of cri_product_1o5</t>
    <phoneticPr fontId="2" type="noConversion"/>
  </si>
  <si>
    <t>YEAR</t>
  </si>
  <si>
    <t>DOIlink</t>
  </si>
  <si>
    <t>dbnanme</t>
  </si>
  <si>
    <t>dbversion</t>
  </si>
  <si>
    <t>pykeri_compatible</t>
  </si>
  <si>
    <t>TF_mat_complete</t>
  </si>
  <si>
    <t>fraction_Ts_TEPZToverTEPZTex</t>
  </si>
  <si>
    <t>is_Temperature_range_valid</t>
  </si>
  <si>
    <t>autoTc</t>
  </si>
  <si>
    <t>autoTh</t>
  </si>
  <si>
    <t>ztTc</t>
  </si>
  <si>
    <t>ztTh</t>
  </si>
  <si>
    <t>Tc_ofTEP</t>
  </si>
  <si>
    <t>Th_ofTEP</t>
  </si>
  <si>
    <t>Tc_ofZT</t>
  </si>
  <si>
    <t>Th_ofZT</t>
  </si>
  <si>
    <t>Tc_ofTEPZT</t>
  </si>
  <si>
    <t>Th_ofTEPZT</t>
  </si>
  <si>
    <t>deltaT_ofTEP</t>
  </si>
  <si>
    <t>deltaT_ofZT</t>
  </si>
  <si>
    <t>deltaT_ofTEPZT</t>
  </si>
  <si>
    <t>avg_ZT_ofRawFig</t>
  </si>
  <si>
    <t>avg_ZT_ofTEPEval</t>
  </si>
  <si>
    <t>peak_ZT_ofRawFig</t>
  </si>
  <si>
    <t>peak_ZT_ofTEPEval</t>
  </si>
  <si>
    <t>d_Tmid</t>
  </si>
  <si>
    <t>d_avgZT</t>
  </si>
  <si>
    <t>d_peakZT</t>
  </si>
  <si>
    <t>errdZT_Linf</t>
  </si>
  <si>
    <t>errdZT_L2</t>
  </si>
  <si>
    <t>errdZT_L1</t>
  </si>
  <si>
    <t>is_avg_ZT_ofRawFig_positiveFinite</t>
  </si>
  <si>
    <t>is_avg_ZT_ofTEPEval_positiveFinite</t>
  </si>
  <si>
    <t>ispeak_ZT_ofRawFig_positiveFinite</t>
  </si>
  <si>
    <t>is_peak_ZT_ofTEPEval_positiveFinite</t>
  </si>
  <si>
    <t>errdZT_Linf_over_avg_ZT_ofRawFig</t>
  </si>
  <si>
    <t>errdZT_Linf_over_avg_ZT_ofTEPEval</t>
  </si>
  <si>
    <t>errdZT_Linf_over_peak_ZT_ofRawFig</t>
  </si>
  <si>
    <t>errdZT_Linf_over_peak_ZT_ofTEPEval</t>
  </si>
  <si>
    <t>uniques</t>
    <phoneticPr fontId="2" type="noConversion"/>
  </si>
  <si>
    <t>True counts</t>
    <phoneticPr fontId="2" type="noConversion"/>
  </si>
  <si>
    <t>sample_id</t>
    <phoneticPr fontId="2" type="noConversion"/>
  </si>
  <si>
    <t>DOI</t>
    <phoneticPr fontId="2" type="noConversion"/>
  </si>
  <si>
    <t>TF_matzt_complete</t>
    <phoneticPr fontId="2" type="noConversion"/>
  </si>
  <si>
    <t>Starrydata2 20250501</t>
    <phoneticPr fontId="2" type="noConversion"/>
  </si>
  <si>
    <t>columns</t>
    <phoneticPr fontId="2" type="noConversion"/>
  </si>
  <si>
    <t>(extendable)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</si>
</sst>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0" fillId="0" borderId="1" xfId="0" applyBorder="1"/>
    <xf numFmtId="0" fontId="3" fillId="2" borderId="1" xfId="0" applyFont="1" applyFill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4" fillId="2" borderId="1" xfId="0" applyFont="1" applyFill="1" applyBorder="1"/>
    <xf numFmtId="0" fontId="5" fillId="0" borderId="1" xfId="0" applyFont="1" applyBorder="1" applyAlignment="1">
      <alignment horizontal="center" vertical="top"/>
    </xf>
    <xf numFmtId="0" fontId="0" fillId="0" borderId="1" xfId="0" applyBorder="1" applyAlignment="1">
      <alignment wrapText="1"/>
    </xf>
    <xf numFmtId="10" fontId="0" fillId="0" borderId="1" xfId="1" applyNumberFormat="1" applyFont="1" applyBorder="1" applyAlignment="1"/>
    <xf numFmtId="0" fontId="5" fillId="0" borderId="1" xfId="0" applyFont="1" applyBorder="1"/>
    <xf numFmtId="0" fontId="6" fillId="0" borderId="1" xfId="0" applyFont="1" applyBorder="1"/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 applyAlignment="1">
      <alignment horizontal="center"/>
    </xf>
  </cellXfs>
  <cellStyles count="2">
    <cellStyle name="백분율" xfId="1" builtinId="5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9F881-73D6-4278-93F4-7E29FF056B1C}">
  <dimension ref="F4:H48"/>
  <sheetViews>
    <sheetView topLeftCell="A52" workbookViewId="0">
      <selection activeCell="F71" sqref="F71"/>
    </sheetView>
  </sheetViews>
  <sheetFormatPr defaultRowHeight="16.899999999999999" x14ac:dyDescent="0.6"/>
  <cols>
    <col min="6" max="6" width="31.375" bestFit="1" customWidth="1"/>
    <col min="7" max="8" width="14.5" customWidth="1"/>
  </cols>
  <sheetData>
    <row r="4" spans="6:8" x14ac:dyDescent="0.6">
      <c r="F4" s="1"/>
      <c r="G4" s="1" t="s">
        <v>59</v>
      </c>
      <c r="H4" s="1" t="s">
        <v>60</v>
      </c>
    </row>
    <row r="5" spans="6:8" x14ac:dyDescent="0.6">
      <c r="F5" s="1" t="s">
        <v>0</v>
      </c>
      <c r="G5" s="1">
        <v>374</v>
      </c>
      <c r="H5" s="1">
        <v>0</v>
      </c>
    </row>
    <row r="6" spans="6:8" x14ac:dyDescent="0.6">
      <c r="F6" s="8" t="s">
        <v>2</v>
      </c>
      <c r="G6" s="8">
        <v>424</v>
      </c>
      <c r="H6" s="1">
        <v>0</v>
      </c>
    </row>
    <row r="7" spans="6:8" x14ac:dyDescent="0.6">
      <c r="F7" s="1" t="s">
        <v>20</v>
      </c>
      <c r="G7" s="1">
        <v>27</v>
      </c>
      <c r="H7" s="1">
        <v>0</v>
      </c>
    </row>
    <row r="8" spans="6:8" x14ac:dyDescent="0.6">
      <c r="F8" s="1" t="s">
        <v>21</v>
      </c>
      <c r="G8" s="1">
        <v>374</v>
      </c>
      <c r="H8" s="1">
        <v>0</v>
      </c>
    </row>
    <row r="9" spans="6:8" x14ac:dyDescent="0.6">
      <c r="F9" s="1" t="s">
        <v>22</v>
      </c>
      <c r="G9" s="1">
        <v>1</v>
      </c>
      <c r="H9" s="1">
        <v>0</v>
      </c>
    </row>
    <row r="10" spans="6:8" x14ac:dyDescent="0.6">
      <c r="F10" s="1" t="s">
        <v>23</v>
      </c>
      <c r="G10" s="1">
        <v>1</v>
      </c>
      <c r="H10" s="1">
        <v>0</v>
      </c>
    </row>
    <row r="11" spans="6:8" x14ac:dyDescent="0.6">
      <c r="F11" s="1" t="s">
        <v>24</v>
      </c>
      <c r="G11" s="1">
        <v>1</v>
      </c>
      <c r="H11" s="1">
        <v>355</v>
      </c>
    </row>
    <row r="12" spans="6:8" x14ac:dyDescent="0.6">
      <c r="F12" s="1" t="s">
        <v>25</v>
      </c>
      <c r="G12" s="1">
        <v>1</v>
      </c>
      <c r="H12" s="1">
        <v>355</v>
      </c>
    </row>
    <row r="13" spans="6:8" x14ac:dyDescent="0.6">
      <c r="F13" s="1" t="s">
        <v>26</v>
      </c>
      <c r="G13" s="1">
        <v>219</v>
      </c>
      <c r="H13" s="1">
        <v>0</v>
      </c>
    </row>
    <row r="14" spans="6:8" x14ac:dyDescent="0.6">
      <c r="F14" s="1" t="s">
        <v>27</v>
      </c>
      <c r="G14" s="1">
        <v>1</v>
      </c>
      <c r="H14" s="1">
        <v>355</v>
      </c>
    </row>
    <row r="15" spans="6:8" x14ac:dyDescent="0.6">
      <c r="F15" s="1" t="s">
        <v>28</v>
      </c>
      <c r="G15" s="1">
        <v>332</v>
      </c>
      <c r="H15" s="1">
        <v>0</v>
      </c>
    </row>
    <row r="16" spans="6:8" x14ac:dyDescent="0.6">
      <c r="F16" s="1" t="s">
        <v>29</v>
      </c>
      <c r="G16" s="1">
        <v>348</v>
      </c>
      <c r="H16" s="1">
        <v>0</v>
      </c>
    </row>
    <row r="17" spans="6:8" x14ac:dyDescent="0.6">
      <c r="F17" s="1" t="s">
        <v>30</v>
      </c>
      <c r="G17" s="1">
        <v>329</v>
      </c>
      <c r="H17" s="1">
        <v>0</v>
      </c>
    </row>
    <row r="18" spans="6:8" x14ac:dyDescent="0.6">
      <c r="F18" s="1" t="s">
        <v>31</v>
      </c>
      <c r="G18" s="1">
        <v>348</v>
      </c>
      <c r="H18" s="1">
        <v>0</v>
      </c>
    </row>
    <row r="19" spans="6:8" x14ac:dyDescent="0.6">
      <c r="F19" s="1" t="s">
        <v>32</v>
      </c>
      <c r="G19" s="1">
        <v>51</v>
      </c>
      <c r="H19" s="1">
        <v>0</v>
      </c>
    </row>
    <row r="20" spans="6:8" x14ac:dyDescent="0.6">
      <c r="F20" s="1" t="s">
        <v>33</v>
      </c>
      <c r="G20" s="1">
        <v>167</v>
      </c>
      <c r="H20" s="1">
        <v>0</v>
      </c>
    </row>
    <row r="21" spans="6:8" x14ac:dyDescent="0.6">
      <c r="F21" s="1" t="s">
        <v>34</v>
      </c>
      <c r="G21" s="1">
        <v>51</v>
      </c>
      <c r="H21" s="1">
        <v>0</v>
      </c>
    </row>
    <row r="22" spans="6:8" x14ac:dyDescent="0.6">
      <c r="F22" s="1" t="s">
        <v>35</v>
      </c>
      <c r="G22" s="1">
        <v>162</v>
      </c>
      <c r="H22" s="1">
        <v>0</v>
      </c>
    </row>
    <row r="23" spans="6:8" x14ac:dyDescent="0.6">
      <c r="F23" s="1" t="s">
        <v>36</v>
      </c>
      <c r="G23" s="1">
        <v>54</v>
      </c>
      <c r="H23" s="1">
        <v>0</v>
      </c>
    </row>
    <row r="24" spans="6:8" x14ac:dyDescent="0.6">
      <c r="F24" s="1" t="s">
        <v>37</v>
      </c>
      <c r="G24" s="1">
        <v>168</v>
      </c>
      <c r="H24" s="1">
        <v>0</v>
      </c>
    </row>
    <row r="25" spans="6:8" x14ac:dyDescent="0.6">
      <c r="F25" s="1" t="s">
        <v>38</v>
      </c>
      <c r="G25" s="1">
        <v>186</v>
      </c>
      <c r="H25" s="1">
        <v>0</v>
      </c>
    </row>
    <row r="26" spans="6:8" x14ac:dyDescent="0.6">
      <c r="F26" s="1" t="s">
        <v>39</v>
      </c>
      <c r="G26" s="1">
        <v>178</v>
      </c>
      <c r="H26" s="1">
        <v>0</v>
      </c>
    </row>
    <row r="27" spans="6:8" x14ac:dyDescent="0.6">
      <c r="F27" s="1" t="s">
        <v>40</v>
      </c>
      <c r="G27" s="1">
        <v>185</v>
      </c>
      <c r="H27" s="1">
        <v>0</v>
      </c>
    </row>
    <row r="28" spans="6:8" x14ac:dyDescent="0.6">
      <c r="F28" s="1" t="s">
        <v>41</v>
      </c>
      <c r="G28" s="1">
        <v>355</v>
      </c>
      <c r="H28" s="1">
        <v>0</v>
      </c>
    </row>
    <row r="29" spans="6:8" x14ac:dyDescent="0.6">
      <c r="F29" s="1" t="s">
        <v>42</v>
      </c>
      <c r="G29" s="1">
        <v>355</v>
      </c>
      <c r="H29" s="1">
        <v>0</v>
      </c>
    </row>
    <row r="30" spans="6:8" x14ac:dyDescent="0.6">
      <c r="F30" s="1" t="s">
        <v>43</v>
      </c>
      <c r="G30" s="1">
        <v>355</v>
      </c>
      <c r="H30" s="1">
        <v>0</v>
      </c>
    </row>
    <row r="31" spans="6:8" x14ac:dyDescent="0.6">
      <c r="F31" s="1" t="s">
        <v>44</v>
      </c>
      <c r="G31" s="1">
        <v>355</v>
      </c>
      <c r="H31" s="1">
        <v>0</v>
      </c>
    </row>
    <row r="32" spans="6:8" x14ac:dyDescent="0.6">
      <c r="F32" s="1" t="s">
        <v>45</v>
      </c>
      <c r="G32" s="1">
        <v>41</v>
      </c>
      <c r="H32" s="1">
        <v>0</v>
      </c>
    </row>
    <row r="33" spans="6:8" x14ac:dyDescent="0.6">
      <c r="F33" s="1" t="s">
        <v>46</v>
      </c>
      <c r="G33" s="1">
        <v>355</v>
      </c>
      <c r="H33" s="1">
        <v>0</v>
      </c>
    </row>
    <row r="34" spans="6:8" x14ac:dyDescent="0.6">
      <c r="F34" s="1" t="s">
        <v>47</v>
      </c>
      <c r="G34" s="1">
        <v>355</v>
      </c>
      <c r="H34" s="1">
        <v>0</v>
      </c>
    </row>
    <row r="35" spans="6:8" x14ac:dyDescent="0.6">
      <c r="F35" s="1" t="s">
        <v>48</v>
      </c>
      <c r="G35" s="1">
        <v>355</v>
      </c>
      <c r="H35" s="1">
        <v>0</v>
      </c>
    </row>
    <row r="36" spans="6:8" x14ac:dyDescent="0.6">
      <c r="F36" s="1" t="s">
        <v>49</v>
      </c>
      <c r="G36" s="1">
        <v>355</v>
      </c>
      <c r="H36" s="1">
        <v>0</v>
      </c>
    </row>
    <row r="37" spans="6:8" x14ac:dyDescent="0.6">
      <c r="F37" s="1" t="s">
        <v>50</v>
      </c>
      <c r="G37" s="1">
        <v>355</v>
      </c>
      <c r="H37" s="1">
        <v>0</v>
      </c>
    </row>
    <row r="38" spans="6:8" x14ac:dyDescent="0.6">
      <c r="F38" s="1" t="s">
        <v>51</v>
      </c>
      <c r="G38" s="1">
        <v>1</v>
      </c>
      <c r="H38" s="1">
        <v>355</v>
      </c>
    </row>
    <row r="39" spans="6:8" x14ac:dyDescent="0.6">
      <c r="F39" s="1" t="s">
        <v>52</v>
      </c>
      <c r="G39" s="1">
        <v>1</v>
      </c>
      <c r="H39" s="1">
        <v>355</v>
      </c>
    </row>
    <row r="40" spans="6:8" x14ac:dyDescent="0.6">
      <c r="F40" s="1" t="s">
        <v>53</v>
      </c>
      <c r="G40" s="1">
        <v>1</v>
      </c>
      <c r="H40" s="1">
        <v>355</v>
      </c>
    </row>
    <row r="41" spans="6:8" x14ac:dyDescent="0.6">
      <c r="F41" s="1" t="s">
        <v>54</v>
      </c>
      <c r="G41" s="1">
        <v>1</v>
      </c>
      <c r="H41" s="1">
        <v>355</v>
      </c>
    </row>
    <row r="42" spans="6:8" x14ac:dyDescent="0.6">
      <c r="F42" s="1" t="s">
        <v>55</v>
      </c>
      <c r="G42" s="1">
        <v>355</v>
      </c>
      <c r="H42" s="1">
        <v>0</v>
      </c>
    </row>
    <row r="43" spans="6:8" x14ac:dyDescent="0.6">
      <c r="F43" s="1" t="s">
        <v>56</v>
      </c>
      <c r="G43" s="1">
        <v>355</v>
      </c>
      <c r="H43" s="1">
        <v>0</v>
      </c>
    </row>
    <row r="44" spans="6:8" x14ac:dyDescent="0.6">
      <c r="F44" s="1" t="s">
        <v>57</v>
      </c>
      <c r="G44" s="1">
        <v>355</v>
      </c>
      <c r="H44" s="1">
        <v>0</v>
      </c>
    </row>
    <row r="45" spans="6:8" x14ac:dyDescent="0.6">
      <c r="F45" s="1" t="s">
        <v>58</v>
      </c>
      <c r="G45" s="1">
        <v>355</v>
      </c>
      <c r="H45" s="1">
        <v>0</v>
      </c>
    </row>
    <row r="46" spans="6:8" x14ac:dyDescent="0.6">
      <c r="F46" s="1" t="s">
        <v>8</v>
      </c>
      <c r="G46" s="1">
        <v>2</v>
      </c>
      <c r="H46" s="1">
        <v>272</v>
      </c>
    </row>
    <row r="47" spans="6:8" x14ac:dyDescent="0.6">
      <c r="F47" s="1" t="s">
        <v>9</v>
      </c>
      <c r="G47" s="1">
        <v>2</v>
      </c>
      <c r="H47" s="1">
        <v>187</v>
      </c>
    </row>
    <row r="48" spans="6:8" x14ac:dyDescent="0.6">
      <c r="F48" s="1" t="s">
        <v>10</v>
      </c>
      <c r="G48" s="1">
        <v>2</v>
      </c>
      <c r="H48" s="1">
        <v>71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12D3B-1D2E-4CFF-B866-2B67FD5F6A74}">
  <dimension ref="E3:K26"/>
  <sheetViews>
    <sheetView tabSelected="1" workbookViewId="0">
      <selection activeCell="F19" sqref="F19:G19"/>
    </sheetView>
  </sheetViews>
  <sheetFormatPr defaultRowHeight="16.899999999999999" x14ac:dyDescent="0.6"/>
  <cols>
    <col min="5" max="5" width="28.375" bestFit="1" customWidth="1"/>
    <col min="9" max="11" width="13.25" customWidth="1"/>
  </cols>
  <sheetData>
    <row r="3" spans="5:11" x14ac:dyDescent="0.6">
      <c r="F3" s="10" t="s">
        <v>15</v>
      </c>
      <c r="G3" s="11"/>
      <c r="I3" s="12" t="s">
        <v>64</v>
      </c>
      <c r="J3" s="12"/>
      <c r="K3" s="12"/>
    </row>
    <row r="4" spans="5:11" ht="26.25" x14ac:dyDescent="0.6">
      <c r="E4" s="5" t="s">
        <v>65</v>
      </c>
      <c r="F4" s="6" t="s">
        <v>61</v>
      </c>
      <c r="G4" s="6" t="s">
        <v>62</v>
      </c>
      <c r="H4" s="6"/>
      <c r="I4" s="2" t="s">
        <v>11</v>
      </c>
      <c r="J4" s="3" t="s">
        <v>12</v>
      </c>
      <c r="K4" s="2" t="s">
        <v>13</v>
      </c>
    </row>
    <row r="5" spans="5:11" x14ac:dyDescent="0.6">
      <c r="E5" s="1" t="s">
        <v>16</v>
      </c>
      <c r="F5" s="1">
        <v>424</v>
      </c>
      <c r="G5" s="1"/>
      <c r="H5" s="1"/>
      <c r="I5" s="4">
        <v>57035</v>
      </c>
      <c r="J5" s="1">
        <v>57031</v>
      </c>
      <c r="K5" s="4">
        <v>57014</v>
      </c>
    </row>
    <row r="6" spans="5:11" x14ac:dyDescent="0.6">
      <c r="E6" s="1" t="s">
        <v>2</v>
      </c>
      <c r="F6" s="9">
        <v>424</v>
      </c>
      <c r="G6" s="1"/>
      <c r="H6" s="1"/>
      <c r="I6" s="4">
        <v>57033</v>
      </c>
      <c r="J6" s="1">
        <v>57031</v>
      </c>
      <c r="K6" s="4">
        <v>57014</v>
      </c>
    </row>
    <row r="7" spans="5:11" x14ac:dyDescent="0.6">
      <c r="E7" s="1" t="s">
        <v>1</v>
      </c>
      <c r="F7" s="1"/>
      <c r="G7" s="1"/>
      <c r="H7" s="1"/>
      <c r="I7" s="4">
        <v>29084</v>
      </c>
      <c r="J7" s="1">
        <v>29080</v>
      </c>
      <c r="K7" s="4">
        <v>29066</v>
      </c>
    </row>
    <row r="8" spans="5:11" x14ac:dyDescent="0.6">
      <c r="E8" s="1" t="s">
        <v>14</v>
      </c>
      <c r="F8" s="1">
        <v>374</v>
      </c>
      <c r="G8" s="1"/>
      <c r="H8" s="1"/>
      <c r="I8" s="4">
        <v>10046</v>
      </c>
      <c r="J8" s="1">
        <v>10046</v>
      </c>
      <c r="K8" s="4">
        <v>10042</v>
      </c>
    </row>
    <row r="10" spans="5:11" x14ac:dyDescent="0.6">
      <c r="F10" s="10" t="s">
        <v>15</v>
      </c>
      <c r="G10" s="11"/>
      <c r="I10" s="12" t="s">
        <v>64</v>
      </c>
      <c r="J10" s="12"/>
      <c r="K10" s="12"/>
    </row>
    <row r="11" spans="5:11" ht="33.75" customHeight="1" x14ac:dyDescent="0.6">
      <c r="E11" s="5" t="s">
        <v>65</v>
      </c>
      <c r="F11" s="6" t="s">
        <v>61</v>
      </c>
      <c r="G11" s="6" t="s">
        <v>62</v>
      </c>
      <c r="H11" s="6"/>
      <c r="I11" s="2" t="s">
        <v>11</v>
      </c>
      <c r="J11" s="3" t="s">
        <v>12</v>
      </c>
      <c r="K11" s="2" t="s">
        <v>13</v>
      </c>
    </row>
    <row r="12" spans="5:11" x14ac:dyDescent="0.6">
      <c r="E12" s="1" t="s">
        <v>16</v>
      </c>
      <c r="F12" s="1">
        <v>355</v>
      </c>
      <c r="G12" s="1">
        <v>341</v>
      </c>
      <c r="H12" s="1"/>
      <c r="I12" s="4">
        <v>57035</v>
      </c>
      <c r="J12" s="1">
        <v>57031</v>
      </c>
      <c r="K12" s="4">
        <v>57014</v>
      </c>
    </row>
    <row r="13" spans="5:11" x14ac:dyDescent="0.6">
      <c r="E13" s="1" t="s">
        <v>2</v>
      </c>
      <c r="F13" s="1">
        <v>355</v>
      </c>
      <c r="G13" s="1">
        <v>341</v>
      </c>
      <c r="H13" s="1"/>
      <c r="I13" s="4">
        <v>57033</v>
      </c>
      <c r="J13" s="1">
        <v>57031</v>
      </c>
      <c r="K13" s="4">
        <v>57014</v>
      </c>
    </row>
    <row r="14" spans="5:11" x14ac:dyDescent="0.6">
      <c r="E14" s="1" t="s">
        <v>4</v>
      </c>
      <c r="F14" s="1"/>
      <c r="G14" s="1"/>
      <c r="H14" s="1"/>
      <c r="I14" s="4">
        <v>57031</v>
      </c>
      <c r="J14" s="1">
        <v>57031</v>
      </c>
      <c r="K14" s="4">
        <v>57014</v>
      </c>
    </row>
    <row r="15" spans="5:11" x14ac:dyDescent="0.6">
      <c r="E15" s="1" t="s">
        <v>3</v>
      </c>
      <c r="F15" s="1"/>
      <c r="G15" s="1"/>
      <c r="H15" s="1"/>
      <c r="I15" s="4">
        <v>57014</v>
      </c>
      <c r="J15" s="1">
        <v>57014</v>
      </c>
      <c r="K15" s="4">
        <v>57014</v>
      </c>
    </row>
    <row r="16" spans="5:11" x14ac:dyDescent="0.6">
      <c r="E16" s="1" t="s">
        <v>5</v>
      </c>
      <c r="F16" s="1">
        <v>355</v>
      </c>
      <c r="G16" s="1">
        <v>341</v>
      </c>
      <c r="H16" s="1"/>
      <c r="I16" s="4">
        <v>18292</v>
      </c>
      <c r="J16" s="1">
        <v>18290</v>
      </c>
      <c r="K16" s="4">
        <v>18280</v>
      </c>
    </row>
    <row r="17" spans="5:11" x14ac:dyDescent="0.6">
      <c r="E17" s="1" t="s">
        <v>6</v>
      </c>
      <c r="F17" s="1">
        <v>355</v>
      </c>
      <c r="G17" s="1">
        <v>341</v>
      </c>
      <c r="H17" s="1"/>
      <c r="I17" s="4">
        <v>16189</v>
      </c>
      <c r="J17" s="1">
        <v>16188</v>
      </c>
      <c r="K17" s="4">
        <v>16183</v>
      </c>
    </row>
    <row r="18" spans="5:11" x14ac:dyDescent="0.6">
      <c r="E18" s="1" t="s">
        <v>63</v>
      </c>
      <c r="F18" s="1">
        <v>355</v>
      </c>
      <c r="G18" s="1">
        <v>341</v>
      </c>
      <c r="H18" s="1"/>
      <c r="I18" s="4">
        <v>16189</v>
      </c>
      <c r="J18" s="1">
        <v>16188</v>
      </c>
      <c r="K18" s="4">
        <v>16183</v>
      </c>
    </row>
    <row r="19" spans="5:11" x14ac:dyDescent="0.6">
      <c r="E19" s="1" t="s">
        <v>66</v>
      </c>
      <c r="F19" s="1">
        <v>355</v>
      </c>
      <c r="G19" s="1">
        <v>341</v>
      </c>
      <c r="H19" s="1"/>
      <c r="I19" s="4"/>
      <c r="J19" s="1"/>
      <c r="K19" s="4"/>
    </row>
    <row r="20" spans="5:11" x14ac:dyDescent="0.6">
      <c r="E20" s="1" t="s">
        <v>7</v>
      </c>
      <c r="F20" s="1"/>
      <c r="G20" s="1"/>
      <c r="H20" s="1"/>
      <c r="I20" s="4">
        <v>15246</v>
      </c>
      <c r="J20" s="1">
        <v>15245</v>
      </c>
      <c r="K20" s="4">
        <v>15238</v>
      </c>
    </row>
    <row r="21" spans="5:11" x14ac:dyDescent="0.6">
      <c r="E21" s="1" t="s">
        <v>8</v>
      </c>
      <c r="F21" s="1">
        <v>272</v>
      </c>
      <c r="G21" s="1">
        <v>262</v>
      </c>
      <c r="H21" s="1"/>
      <c r="I21" s="4">
        <v>10661</v>
      </c>
      <c r="J21" s="1">
        <v>10661</v>
      </c>
      <c r="K21" s="4">
        <v>10661</v>
      </c>
    </row>
    <row r="22" spans="5:11" x14ac:dyDescent="0.6">
      <c r="E22" s="1" t="s">
        <v>9</v>
      </c>
      <c r="F22" s="1">
        <v>187</v>
      </c>
      <c r="G22" s="1">
        <v>182</v>
      </c>
      <c r="H22" s="1"/>
      <c r="I22" s="4">
        <v>7915</v>
      </c>
      <c r="J22" s="1">
        <v>7915</v>
      </c>
      <c r="K22" s="4">
        <v>7915</v>
      </c>
    </row>
    <row r="23" spans="5:11" x14ac:dyDescent="0.6">
      <c r="E23" s="1" t="s">
        <v>10</v>
      </c>
      <c r="F23" s="1">
        <v>71</v>
      </c>
      <c r="G23" s="1">
        <v>70</v>
      </c>
      <c r="H23" s="1"/>
      <c r="I23" s="4">
        <v>3373</v>
      </c>
      <c r="J23" s="1">
        <v>3373</v>
      </c>
      <c r="K23" s="4">
        <v>3373</v>
      </c>
    </row>
    <row r="24" spans="5:11" x14ac:dyDescent="0.6">
      <c r="E24" s="1" t="s">
        <v>17</v>
      </c>
      <c r="F24" s="7">
        <f>F21/F$18</f>
        <v>0.76619718309859153</v>
      </c>
      <c r="G24" s="7">
        <f>G21/G$18</f>
        <v>0.76832844574780057</v>
      </c>
      <c r="H24" s="7"/>
      <c r="I24" s="7">
        <f t="shared" ref="I24:K24" si="0">I21/I$18</f>
        <v>0.65853357217863984</v>
      </c>
      <c r="J24" s="7">
        <f t="shared" si="0"/>
        <v>0.65857425253274027</v>
      </c>
      <c r="K24" s="7">
        <f t="shared" si="0"/>
        <v>0.65877772971636905</v>
      </c>
    </row>
    <row r="25" spans="5:11" x14ac:dyDescent="0.6">
      <c r="E25" s="1" t="s">
        <v>18</v>
      </c>
      <c r="F25" s="7">
        <f t="shared" ref="F25:K26" si="1">F22/F$18</f>
        <v>0.52676056338028165</v>
      </c>
      <c r="G25" s="7">
        <f t="shared" ref="G25" si="2">G22/G$18</f>
        <v>0.53372434017595305</v>
      </c>
      <c r="H25" s="7"/>
      <c r="I25" s="7">
        <f t="shared" si="1"/>
        <v>0.4889122243498672</v>
      </c>
      <c r="J25" s="7">
        <f t="shared" si="1"/>
        <v>0.48894242648875713</v>
      </c>
      <c r="K25" s="7">
        <f t="shared" si="1"/>
        <v>0.48909349317184703</v>
      </c>
    </row>
    <row r="26" spans="5:11" x14ac:dyDescent="0.6">
      <c r="E26" s="1" t="s">
        <v>19</v>
      </c>
      <c r="F26" s="7">
        <f t="shared" si="1"/>
        <v>0.2</v>
      </c>
      <c r="G26" s="7">
        <f t="shared" ref="G26" si="3">G23/G$18</f>
        <v>0.20527859237536658</v>
      </c>
      <c r="H26" s="7"/>
      <c r="I26" s="7">
        <f t="shared" si="1"/>
        <v>0.20835134968188276</v>
      </c>
      <c r="J26" s="7">
        <f t="shared" si="1"/>
        <v>0.20836422041018038</v>
      </c>
      <c r="K26" s="7">
        <f t="shared" si="1"/>
        <v>0.20842859791138849</v>
      </c>
    </row>
  </sheetData>
  <mergeCells count="4">
    <mergeCell ref="F3:G3"/>
    <mergeCell ref="I3:K3"/>
    <mergeCell ref="I10:K10"/>
    <mergeCell ref="F10:G10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tematdb</vt:lpstr>
      <vt:lpstr>starrydata2 vs tematdb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cta4rbk@naver.com</cp:lastModifiedBy>
  <dcterms:created xsi:type="dcterms:W3CDTF">2025-05-12T18:25:18Z</dcterms:created>
  <dcterms:modified xsi:type="dcterms:W3CDTF">2025-05-13T12:45:30Z</dcterms:modified>
</cp:coreProperties>
</file>